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chedule" sheetId="1" state="visible" r:id="rId3"/>
    <sheet name="Phases" sheetId="2" state="visible" r:id="rId4"/>
    <sheet name="Story Counts" sheetId="3" state="visible" r:id="rId5"/>
    <sheet name="Analysi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2" authorId="0">
      <text>
        <r>
          <rPr>
            <sz val="10"/>
            <rFont val="Arial"/>
            <family val="2"/>
          </rPr>
          <t xml:space="preserve">Planning assumption: kickoff Monday 2 Nov 2026. Change this date and every task date and the Gantt shift with it.</t>
        </r>
      </text>
    </comment>
  </commentList>
</comments>
</file>

<file path=xl/sharedStrings.xml><?xml version="1.0" encoding="utf-8"?>
<sst xmlns="http://schemas.openxmlformats.org/spreadsheetml/2006/main" count="411" uniqueCount="204">
  <si>
    <t xml:space="preserve">Legacy Real Estate System — Delivery Schedule and Gantt</t>
  </si>
  <si>
    <t xml:space="preserve">Project kickoff date</t>
  </si>
  <si>
    <t xml:space="preserve">Edit the yellow kickoff cell, the blue offset/length columns and the Status column. Everything else is calculated.</t>
  </si>
  <si>
    <t xml:space="preserve">Gantt colours: red = critical path · grey = external lead time · black = milestone · other colours = phase. Durations are estimates for the developer to confirm in Phase 0.</t>
  </si>
  <si>
    <t xml:space="preserve">Phase</t>
  </si>
  <si>
    <t xml:space="preserve">Task</t>
  </si>
  <si>
    <t xml:space="preserve">Epic</t>
  </si>
  <si>
    <t xml:space="preserve">Type</t>
  </si>
  <si>
    <t xml:space="preserve">Critical path</t>
  </si>
  <si>
    <t xml:space="preserve">Start offset (days)</t>
  </si>
  <si>
    <t xml:space="preserve">Length (days)</t>
  </si>
  <si>
    <t xml:space="preserve">Start</t>
  </si>
  <si>
    <t xml:space="preserve">End</t>
  </si>
  <si>
    <t xml:space="preserve">Weeks</t>
  </si>
  <si>
    <t xml:space="preserve">Status</t>
  </si>
  <si>
    <t xml:space="preserve">Stories / notes</t>
  </si>
  <si>
    <t xml:space="preserve">Phase 0</t>
  </si>
  <si>
    <t xml:space="preserve">Kickoff, contract and backlog review</t>
  </si>
  <si>
    <t xml:space="preserve">No</t>
  </si>
  <si>
    <t xml:space="preserve">Not started</t>
  </si>
  <si>
    <t xml:space="preserve">Agree scope, team and ways of working</t>
  </si>
  <si>
    <t xml:space="preserve">Close open decisions (ADRs)</t>
  </si>
  <si>
    <t xml:space="preserve">12 business gaps + 9 technical decisions</t>
  </si>
  <si>
    <t xml:space="preserve">Paybill + Daraja production approval</t>
  </si>
  <si>
    <t xml:space="preserve">External</t>
  </si>
  <si>
    <t xml:space="preserve">Yes</t>
  </si>
  <si>
    <t xml:space="preserve">Safaricom lead time; apply on day one</t>
  </si>
  <si>
    <t xml:space="preserve">SMS sender ID registration</t>
  </si>
  <si>
    <t xml:space="preserve">Needed for receipts (LR-8.02)</t>
  </si>
  <si>
    <t xml:space="preserve">ODPC registration</t>
  </si>
  <si>
    <t xml:space="preserve">Data controller registration (SRS §13)</t>
  </si>
  <si>
    <t xml:space="preserve">Monorepo, CI and k3s dev server</t>
  </si>
  <si>
    <t xml:space="preserve">E13</t>
  </si>
  <si>
    <t xml:space="preserve">LR-13.01, 13.17</t>
  </si>
  <si>
    <t xml:space="preserve">OpenAPI contract v1 and ERD</t>
  </si>
  <si>
    <t xml:space="preserve">LR-13.18, 13.19; data model</t>
  </si>
  <si>
    <t xml:space="preserve">Wireframes for Phase 1 screens</t>
  </si>
  <si>
    <t xml:space="preserve">Back office, tenant portal, caretaker view</t>
  </si>
  <si>
    <t xml:space="preserve">Phase 1</t>
  </si>
  <si>
    <t xml:space="preserve">Users, roles, branch scope, audit</t>
  </si>
  <si>
    <t xml:space="preserve">E1</t>
  </si>
  <si>
    <t xml:space="preserve">LR-1.01 to 1.10</t>
  </si>
  <si>
    <t xml:space="preserve">Properties, units, landlords</t>
  </si>
  <si>
    <t xml:space="preserve">E2, E3</t>
  </si>
  <si>
    <t xml:space="preserve">LR-2.01 to 2.12, LR-3.01 to 3.06</t>
  </si>
  <si>
    <t xml:space="preserve">Tenants and tenancies</t>
  </si>
  <si>
    <t xml:space="preserve">E4</t>
  </si>
  <si>
    <t xml:space="preserve">LR-4.01 to 4.16 (P1)</t>
  </si>
  <si>
    <t xml:space="preserve">Invoicing, water billing, penalties</t>
  </si>
  <si>
    <t xml:space="preserve">E5</t>
  </si>
  <si>
    <t xml:space="preserve">LR-5.01 to 5.05, 5.18 to 5.20, 5.23</t>
  </si>
  <si>
    <t xml:space="preserve">M-Pesa C2B/STK, matching, allocation</t>
  </si>
  <si>
    <t xml:space="preserve">LR-5.06 to 5.17; queues LR-13.02 to 13.08</t>
  </si>
  <si>
    <t xml:space="preserve">SMS and email notifications</t>
  </si>
  <si>
    <t xml:space="preserve">E8</t>
  </si>
  <si>
    <t xml:space="preserve">LR-8.01 to 8.08</t>
  </si>
  <si>
    <t xml:space="preserve">Staging, production, DB replication</t>
  </si>
  <si>
    <t xml:space="preserve">LR-13.09 to 13.15</t>
  </si>
  <si>
    <t xml:space="preserve">Data migration and opening balances</t>
  </si>
  <si>
    <t xml:space="preserve">LR-13.16</t>
  </si>
  <si>
    <t xml:space="preserve">QA, performance, resilience, pen test</t>
  </si>
  <si>
    <t xml:space="preserve">SRS §18.2 test cases; LR-13.20</t>
  </si>
  <si>
    <t xml:space="preserve">UAT and Phase 1 sign-off</t>
  </si>
  <si>
    <t xml:space="preserve">Demo, UAT by agency staff, PM sign-off</t>
  </si>
  <si>
    <t xml:space="preserve">Phase 1 signed off</t>
  </si>
  <si>
    <t xml:space="preserve">Milestone</t>
  </si>
  <si>
    <t xml:space="preserve">Gate</t>
  </si>
  <si>
    <t xml:space="preserve">Parallel run and staff training</t>
  </si>
  <si>
    <t xml:space="preserve">One month against current records</t>
  </si>
  <si>
    <t xml:space="preserve">Rent collection go-live</t>
  </si>
  <si>
    <t xml:space="preserve">Go-live</t>
  </si>
  <si>
    <t xml:space="preserve">Phase 2</t>
  </si>
  <si>
    <t xml:space="preserve">Accounting, remittances, MRI</t>
  </si>
  <si>
    <t xml:space="preserve">E9</t>
  </si>
  <si>
    <t xml:space="preserve">LR-9.01 to 9.08, 9.11</t>
  </si>
  <si>
    <t xml:space="preserve">Maintenance, caretakers, vendors</t>
  </si>
  <si>
    <t xml:space="preserve">E7</t>
  </si>
  <si>
    <t xml:space="preserve">LR-7.01 to 7.06, 7.10</t>
  </si>
  <si>
    <t xml:space="preserve">Landlord and tenant portals</t>
  </si>
  <si>
    <t xml:space="preserve">E3, E4</t>
  </si>
  <si>
    <t xml:space="preserve">Portal dashboards and statements</t>
  </si>
  <si>
    <t xml:space="preserve">Reports and dashboards</t>
  </si>
  <si>
    <t xml:space="preserve">E11</t>
  </si>
  <si>
    <t xml:space="preserve">LR-11.01 to 11.20 (P1)</t>
  </si>
  <si>
    <t xml:space="preserve">Compliance and data protection</t>
  </si>
  <si>
    <t xml:space="preserve">E12</t>
  </si>
  <si>
    <t xml:space="preserve">LR-12.01, 12.03 to 12.05, 12.07, 12.09, 12.10</t>
  </si>
  <si>
    <t xml:space="preserve">QA, UAT and sign-off</t>
  </si>
  <si>
    <t xml:space="preserve">Remittance totals match the ledger</t>
  </si>
  <si>
    <t xml:space="preserve">Phase 2 signed off</t>
  </si>
  <si>
    <t xml:space="preserve">Phase 3</t>
  </si>
  <si>
    <t xml:space="preserve">Projects, plots, sales pipeline, plans</t>
  </si>
  <si>
    <t xml:space="preserve">E6</t>
  </si>
  <si>
    <t xml:space="preserve">LR-6.01 to 6.09</t>
  </si>
  <si>
    <t xml:space="preserve">Due diligence, transfers, buyer portal</t>
  </si>
  <si>
    <t xml:space="preserve">LR-6.11 to 6.13</t>
  </si>
  <si>
    <t xml:space="preserve">12-month plan reminders; title tracking</t>
  </si>
  <si>
    <t xml:space="preserve">Phase 3 signed off</t>
  </si>
  <si>
    <t xml:space="preserve">Phase 4</t>
  </si>
  <si>
    <t xml:space="preserve">Public website and SEO listings</t>
  </si>
  <si>
    <t xml:space="preserve">E10</t>
  </si>
  <si>
    <t xml:space="preserve">LR-10.01 to 10.04</t>
  </si>
  <si>
    <t xml:space="preserve">Leads, viewings, match engine</t>
  </si>
  <si>
    <t xml:space="preserve">LR-10.06 to 10.09</t>
  </si>
  <si>
    <t xml:space="preserve">Extras: WhatsApp, eTIMS, Swahili, VAT</t>
  </si>
  <si>
    <t xml:space="preserve">32 P2/P3 stories across epics</t>
  </si>
  <si>
    <t xml:space="preserve">Final QA, UAT and handover</t>
  </si>
  <si>
    <t xml:space="preserve">Runbooks, user guides, change log</t>
  </si>
  <si>
    <t xml:space="preserve">Project sign-off</t>
  </si>
  <si>
    <t xml:space="preserve">Warranty: bug fixes</t>
  </si>
  <si>
    <t xml:space="preserve">3 months after sign-off</t>
  </si>
  <si>
    <t xml:space="preserve">Phases at a glance</t>
  </si>
  <si>
    <t xml:space="preserve">Start and end come from the Schedule tab (external lead times excluded). P1 story counts come from the Story Counts tab.</t>
  </si>
  <si>
    <t xml:space="preserve">Name</t>
  </si>
  <si>
    <t xml:space="preserve">Epics</t>
  </si>
  <si>
    <t xml:space="preserve">P1 stories</t>
  </si>
  <si>
    <t xml:space="preserve">Exit gate</t>
  </si>
  <si>
    <t xml:space="preserve">Mobilise and set up</t>
  </si>
  <si>
    <t xml:space="preserve">Decisions, E13 setup</t>
  </si>
  <si>
    <t xml:space="preserve">Contract signed, ADRs agreed, dev server and CI running</t>
  </si>
  <si>
    <t xml:space="preserve">Rent collection</t>
  </si>
  <si>
    <t xml:space="preserve">E1, E2, E3, E4, E5, E8, E13</t>
  </si>
  <si>
    <t xml:space="preserve">UAT sign-off 26 Mar, parallel run, go-live 26 Apr</t>
  </si>
  <si>
    <t xml:space="preserve">Accounts, maintenance, reports</t>
  </si>
  <si>
    <t xml:space="preserve">E7, E9, E11, E12</t>
  </si>
  <si>
    <t xml:space="preserve">Landlord remittances and MRI verified against the ledger</t>
  </si>
  <si>
    <t xml:space="preserve">Land sales</t>
  </si>
  <si>
    <t xml:space="preserve">12-month buyer plan and transfer checklist pass UAT</t>
  </si>
  <si>
    <t xml:space="preserve">Website, CRM and extras</t>
  </si>
  <si>
    <t xml:space="preserve">E10 + P2/P3 extras</t>
  </si>
  <si>
    <t xml:space="preserve">Final sign-off and handover</t>
  </si>
  <si>
    <t xml:space="preserve">Extras</t>
  </si>
  <si>
    <t xml:space="preserve">P2 and P3 stories (scheduled in the Phase 4 extras window)</t>
  </si>
  <si>
    <t xml:space="preserve">Total</t>
  </si>
  <si>
    <t xml:space="preserve">Key dates</t>
  </si>
  <si>
    <t xml:space="preserve">Phase 1 sign-off</t>
  </si>
  <si>
    <t xml:space="preserve">Final project sign-off</t>
  </si>
  <si>
    <t xml:space="preserve">Weeks from kickoff to go-live</t>
  </si>
  <si>
    <t xml:space="preserve">Weeks from kickoff to final sign-off</t>
  </si>
  <si>
    <t xml:space="preserve">Daraja approval slack before Phase 1 testing (weeks)</t>
  </si>
  <si>
    <t xml:space="preserve">User stories by epic and priority</t>
  </si>
  <si>
    <t xml:space="preserve">Source: Legacy Real Estate System — User Stories backlog (18 Oct 2026). P1 = first go-live, P2 = later phase, P3 = optional.</t>
  </si>
  <si>
    <t xml:space="preserve">P1</t>
  </si>
  <si>
    <t xml:space="preserve">P2</t>
  </si>
  <si>
    <t xml:space="preserve">P3</t>
  </si>
  <si>
    <t xml:space="preserve">Access, roles and audit</t>
  </si>
  <si>
    <t xml:space="preserve">E2</t>
  </si>
  <si>
    <t xml:space="preserve">Property and unit management</t>
  </si>
  <si>
    <t xml:space="preserve">E3</t>
  </si>
  <si>
    <t xml:space="preserve">Landlord management</t>
  </si>
  <si>
    <t xml:space="preserve">Tenant management and tenancies</t>
  </si>
  <si>
    <t xml:space="preserve">Rent billing, payments and arrears</t>
  </si>
  <si>
    <t xml:space="preserve">Maintenance, caretakers and inspections</t>
  </si>
  <si>
    <t xml:space="preserve">Communications</t>
  </si>
  <si>
    <t xml:space="preserve">Accounting, remittances and tax</t>
  </si>
  <si>
    <t xml:space="preserve">Public website and CRM</t>
  </si>
  <si>
    <t xml:space="preserve">Platform, infrastructure, non-functional</t>
  </si>
  <si>
    <t xml:space="preserve">Largest epic</t>
  </si>
  <si>
    <t xml:space="preserve">Share of P1 stories in Phase 1</t>
  </si>
  <si>
    <t xml:space="preserve">Analysis, critical path, assumptions and risks</t>
  </si>
  <si>
    <t xml:space="preserve">1</t>
  </si>
  <si>
    <t xml:space="preserve">Paybill and Daraja production approval</t>
  </si>
  <si>
    <t xml:space="preserve">2</t>
  </si>
  <si>
    <t xml:space="preserve">M-Pesa matching and allocation</t>
  </si>
  <si>
    <t xml:space="preserve">3</t>
  </si>
  <si>
    <t xml:space="preserve">Phase 1 QA, performance and resilience tests</t>
  </si>
  <si>
    <t xml:space="preserve">4</t>
  </si>
  <si>
    <t xml:space="preserve">UAT and sign-off</t>
  </si>
  <si>
    <t xml:space="preserve">5</t>
  </si>
  <si>
    <t xml:space="preserve">One-month parallel run</t>
  </si>
  <si>
    <t xml:space="preserve">6</t>
  </si>
  <si>
    <t xml:space="preserve">Findings</t>
  </si>
  <si>
    <t xml:space="preserve">•</t>
  </si>
  <si>
    <t xml:space="preserve">Payments are the heaviest epic: Epic 5 has 23 stories and touches billing, accounting, notifications and the queues.</t>
  </si>
  <si>
    <t xml:space="preserve">Platform work comes first: queues, idempotent callbacks, replication and Kubernetes (Epic 13, 20 stories) must be ready before payments can be tested.</t>
  </si>
  <si>
    <t xml:space="preserve">Three outside lead times start on day one: Paybill/Daraja approval, SMS sender ID and ODPC registration (SRS §18.3).</t>
  </si>
  <si>
    <t xml:space="preserve">21 decisions are still open (12 business gaps + 9 technical decisions); Phase 0 sets aside two weeks to close them.</t>
  </si>
  <si>
    <t xml:space="preserve">The website comes last because the SRS ranks it below rent collection; Epic 10 can move into Phase 2 with about 4 more weeks of effort.</t>
  </si>
  <si>
    <t xml:space="preserve">Planning assumptions</t>
  </si>
  <si>
    <t xml:space="preserve">Kickoff Monday 2 November 2026 (editable on the Schedule tab).</t>
  </si>
  <si>
    <t xml:space="preserve">Team: one lead full-stack developer, one frontend developer, QA and a project manager. A single developer roughly doubles the build durations.</t>
  </si>
  <si>
    <t xml:space="preserve">Light work from 21 December to 1 January.</t>
  </si>
  <si>
    <t xml:space="preserve">Each phase ends with a demo, UAT by agency staff and PM sign-off (SRS §18).</t>
  </si>
  <si>
    <t xml:space="preserve">Go-live follows the SRS: data migration, one-month parallel run, staff training, switch-over.</t>
  </si>
  <si>
    <t xml:space="preserve">Warranty: 3 months of bug fixes after final sign-off.</t>
  </si>
  <si>
    <t xml:space="preserve">Schedule risks</t>
  </si>
  <si>
    <t xml:space="preserve">Risk</t>
  </si>
  <si>
    <t xml:space="preserve">Impact</t>
  </si>
  <si>
    <t xml:space="preserve">Mitigation</t>
  </si>
  <si>
    <t xml:space="preserve">Daraja approval takes longer than 11 weeks</t>
  </si>
  <si>
    <t xml:space="preserve">Go-live slips</t>
  </si>
  <si>
    <t xml:space="preserve">Apply on day one; build against the sandbox; about 5 weeks of slack</t>
  </si>
  <si>
    <t xml:space="preserve">Open decisions not closed in Phase 0</t>
  </si>
  <si>
    <t xml:space="preserve">Schema rework mid-build</t>
  </si>
  <si>
    <t xml:space="preserve">Two-week decision window; ADRs signed off before modules start</t>
  </si>
  <si>
    <t xml:space="preserve">Opening balances do not reconcile</t>
  </si>
  <si>
    <t xml:space="preserve">Wrong arrears from day one</t>
  </si>
  <si>
    <t xml:space="preserve">Import validation per row; one-month parallel run</t>
  </si>
  <si>
    <t xml:space="preserve">Team smaller than assumed</t>
  </si>
  <si>
    <t xml:space="preserve">Build bars roughly double</t>
  </si>
  <si>
    <t xml:space="preserve">Re-estimate in Phase 0; protect the rent-collection scope</t>
  </si>
  <si>
    <t xml:space="preserve">December holiday slowdown</t>
  </si>
  <si>
    <t xml:space="preserve">Phase 1 build compressed</t>
  </si>
  <si>
    <t xml:space="preserve">Shaded on the plan; avoid gates in the holiday weeks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</si>
</sst>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yy"/>
    <numFmt numFmtId="166" formatCode="dd"/>
    <numFmt numFmtId="167" formatCode="0.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i val="true"/>
      <sz val="9"/>
      <color rgb="FF5B665F"/>
      <name val="Arial"/>
      <family val="0"/>
      <charset val="1"/>
    </font>
    <font>
      <b val="true"/>
      <sz val="8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7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0"/>
      <name val="Arial"/>
      <family val="2"/>
    </font>
    <font>
      <b val="true"/>
      <sz val="12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A5F"/>
        <bgColor rgb="FF333399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0D5D2"/>
      </bottom>
      <diagonal/>
    </border>
    <border diagonalUp="false" diagonalDown="false">
      <left style="hair">
        <color rgb="FFE3E6E3"/>
      </left>
      <right/>
      <top/>
      <bottom style="thin">
        <color rgb="FFD0D5D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6" fontId="10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>
          <bgColor rgb="FF1B211D"/>
        </patternFill>
      </fill>
    </dxf>
    <dxf>
      <fill>
        <patternFill>
          <bgColor rgb="FFC2412D"/>
        </patternFill>
      </fill>
    </dxf>
    <dxf>
      <fill>
        <patternFill>
          <bgColor rgb="FFA9AEAA"/>
        </patternFill>
      </fill>
    </dxf>
    <dxf>
      <fill>
        <patternFill>
          <bgColor rgb="FF8C7F69"/>
        </patternFill>
      </fill>
    </dxf>
    <dxf>
      <fill>
        <patternFill>
          <bgColor rgb="FF1F7A5A"/>
        </patternFill>
      </fill>
    </dxf>
    <dxf>
      <fill>
        <patternFill>
          <bgColor rgb="FF2F5F9E"/>
        </patternFill>
      </fill>
    </dxf>
    <dxf>
      <fill>
        <patternFill>
          <bgColor rgb="FFA8641F"/>
        </patternFill>
      </fill>
    </dxf>
    <dxf>
      <fill>
        <patternFill>
          <bgColor rgb="FF7A4B9A"/>
        </patternFill>
      </fill>
    </dxf>
    <dxf>
      <fill>
        <patternFill>
          <bgColor rgb="FFD9F0E4"/>
        </patternFill>
      </fill>
    </dxf>
    <dxf>
      <fill>
        <patternFill>
          <bgColor rgb="FFF8D7D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A8641F"/>
      <rgbColor rgb="FF800080"/>
      <rgbColor rgb="FF1F7A5A"/>
      <rgbColor rgb="FFA9AEAA"/>
      <rgbColor rgb="FF8C7F69"/>
      <rgbColor rgb="FF9999FF"/>
      <rgbColor rgb="FF7A4B9A"/>
      <rgbColor rgb="FFFFFFCC"/>
      <rgbColor rgb="FFE3E6E3"/>
      <rgbColor rgb="FF660066"/>
      <rgbColor rgb="FFFF8080"/>
      <rgbColor rgb="FF2F5F9E"/>
      <rgbColor rgb="FFD0D5D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F0E4"/>
      <rgbColor rgb="FFFFFF99"/>
      <rgbColor rgb="FF99CCFF"/>
      <rgbColor rgb="FFFF99CC"/>
      <rgbColor rgb="FFCC99FF"/>
      <rgbColor rgb="FFF8D7D0"/>
      <rgbColor rgb="FF3366FF"/>
      <rgbColor rgb="FF33CCCC"/>
      <rgbColor rgb="FF99CC00"/>
      <rgbColor rgb="FFFFCC00"/>
      <rgbColor rgb="FFFF9900"/>
      <rgbColor rgb="FFFF6600"/>
      <rgbColor rgb="FF5B665F"/>
      <rgbColor rgb="FF969696"/>
      <rgbColor rgb="FF1F3A5F"/>
      <rgbColor rgb="FF339966"/>
      <rgbColor rgb="FF003300"/>
      <rgbColor rgb="FF333300"/>
      <rgbColor rgb="FFC2412D"/>
      <rgbColor rgb="FF993366"/>
      <rgbColor rgb="FF333399"/>
      <rgbColor rgb="FF1B211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V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36"/>
    <col collapsed="false" customWidth="true" hidden="false" outlineLevel="0" max="3" min="3" style="0" width="8"/>
    <col collapsed="false" customWidth="true" hidden="false" outlineLevel="0" max="4" min="4" style="0" width="10"/>
    <col collapsed="false" customWidth="true" hidden="false" outlineLevel="0" max="7" min="5" style="0" width="9"/>
    <col collapsed="false" customWidth="true" hidden="false" outlineLevel="0" max="9" min="8" style="0" width="11"/>
    <col collapsed="false" customWidth="true" hidden="false" outlineLevel="0" max="10" min="10" style="0" width="7"/>
    <col collapsed="false" customWidth="true" hidden="false" outlineLevel="0" max="11" min="11" style="0" width="12"/>
    <col collapsed="false" customWidth="true" hidden="false" outlineLevel="0" max="12" min="12" style="0" width="40"/>
    <col collapsed="false" customWidth="true" hidden="false" outlineLevel="0" max="13" min="13" style="0" width="2"/>
    <col collapsed="false" customWidth="true" hidden="false" outlineLevel="0" max="74" min="14" style="0" width="3.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  <c r="B2" s="3" t="n">
        <v>46328</v>
      </c>
      <c r="C2" s="4" t="s">
        <v>2</v>
      </c>
    </row>
    <row r="3" customFormat="false" ht="15" hidden="false" customHeight="false" outlineLevel="0" collapsed="false">
      <c r="A3" s="4" t="s">
        <v>3</v>
      </c>
    </row>
    <row r="5" customFormat="false" ht="15" hidden="false" customHeight="false" outlineLevel="0" collapsed="false">
      <c r="N5" s="5" t="str">
        <f aca="false">TEXT(N6,"mmm yy")</f>
        <v>Nov 26</v>
      </c>
      <c r="O5" s="5" t="str">
        <f aca="false">IF(MONTH(O6)&lt;&gt;MONTH(N6),TEXT(O6,"mmm yy"),"")</f>
        <v/>
      </c>
      <c r="P5" s="5" t="str">
        <f aca="false">IF(MONTH(P6)&lt;&gt;MONTH(O6),TEXT(P6,"mmm yy"),"")</f>
        <v/>
      </c>
      <c r="Q5" s="5" t="str">
        <f aca="false">IF(MONTH(Q6)&lt;&gt;MONTH(P6),TEXT(Q6,"mmm yy"),"")</f>
        <v/>
      </c>
      <c r="R5" s="5" t="str">
        <f aca="false">IF(MONTH(R6)&lt;&gt;MONTH(Q6),TEXT(R6,"mmm yy"),"")</f>
        <v/>
      </c>
      <c r="S5" s="5" t="str">
        <f aca="false">IF(MONTH(S6)&lt;&gt;MONTH(R6),TEXT(S6,"mmm yy"),"")</f>
        <v>Dec 26</v>
      </c>
      <c r="T5" s="5" t="str">
        <f aca="false">IF(MONTH(T6)&lt;&gt;MONTH(S6),TEXT(T6,"mmm yy"),"")</f>
        <v/>
      </c>
      <c r="U5" s="5" t="str">
        <f aca="false">IF(MONTH(U6)&lt;&gt;MONTH(T6),TEXT(U6,"mmm yy"),"")</f>
        <v/>
      </c>
      <c r="V5" s="5" t="str">
        <f aca="false">IF(MONTH(V6)&lt;&gt;MONTH(U6),TEXT(V6,"mmm yy"),"")</f>
        <v/>
      </c>
      <c r="W5" s="5" t="str">
        <f aca="false">IF(MONTH(W6)&lt;&gt;MONTH(V6),TEXT(W6,"mmm yy"),"")</f>
        <v>Jan 27</v>
      </c>
      <c r="X5" s="5" t="str">
        <f aca="false">IF(MONTH(X6)&lt;&gt;MONTH(W6),TEXT(X6,"mmm yy"),"")</f>
        <v/>
      </c>
      <c r="Y5" s="5" t="str">
        <f aca="false">IF(MONTH(Y6)&lt;&gt;MONTH(X6),TEXT(Y6,"mmm yy"),"")</f>
        <v/>
      </c>
      <c r="Z5" s="5" t="str">
        <f aca="false">IF(MONTH(Z6)&lt;&gt;MONTH(Y6),TEXT(Z6,"mmm yy"),"")</f>
        <v/>
      </c>
      <c r="AA5" s="5" t="str">
        <f aca="false">IF(MONTH(AA6)&lt;&gt;MONTH(Z6),TEXT(AA6,"mmm yy"),"")</f>
        <v>Feb 27</v>
      </c>
      <c r="AB5" s="5" t="str">
        <f aca="false">IF(MONTH(AB6)&lt;&gt;MONTH(AA6),TEXT(AB6,"mmm yy"),"")</f>
        <v/>
      </c>
      <c r="AC5" s="5" t="str">
        <f aca="false">IF(MONTH(AC6)&lt;&gt;MONTH(AB6),TEXT(AC6,"mmm yy"),"")</f>
        <v/>
      </c>
      <c r="AD5" s="5" t="str">
        <f aca="false">IF(MONTH(AD6)&lt;&gt;MONTH(AC6),TEXT(AD6,"mmm yy"),"")</f>
        <v/>
      </c>
      <c r="AE5" s="5" t="str">
        <f aca="false">IF(MONTH(AE6)&lt;&gt;MONTH(AD6),TEXT(AE6,"mmm yy"),"")</f>
        <v>Mar 27</v>
      </c>
      <c r="AF5" s="5" t="str">
        <f aca="false">IF(MONTH(AF6)&lt;&gt;MONTH(AE6),TEXT(AF6,"mmm yy"),"")</f>
        <v/>
      </c>
      <c r="AG5" s="5" t="str">
        <f aca="false">IF(MONTH(AG6)&lt;&gt;MONTH(AF6),TEXT(AG6,"mmm yy"),"")</f>
        <v/>
      </c>
      <c r="AH5" s="5" t="str">
        <f aca="false">IF(MONTH(AH6)&lt;&gt;MONTH(AG6),TEXT(AH6,"mmm yy"),"")</f>
        <v/>
      </c>
      <c r="AI5" s="5" t="str">
        <f aca="false">IF(MONTH(AI6)&lt;&gt;MONTH(AH6),TEXT(AI6,"mmm yy"),"")</f>
        <v/>
      </c>
      <c r="AJ5" s="5" t="str">
        <f aca="false">IF(MONTH(AJ6)&lt;&gt;MONTH(AI6),TEXT(AJ6,"mmm yy"),"")</f>
        <v>Apr 27</v>
      </c>
      <c r="AK5" s="5" t="str">
        <f aca="false">IF(MONTH(AK6)&lt;&gt;MONTH(AJ6),TEXT(AK6,"mmm yy"),"")</f>
        <v/>
      </c>
      <c r="AL5" s="5" t="str">
        <f aca="false">IF(MONTH(AL6)&lt;&gt;MONTH(AK6),TEXT(AL6,"mmm yy"),"")</f>
        <v/>
      </c>
      <c r="AM5" s="5" t="str">
        <f aca="false">IF(MONTH(AM6)&lt;&gt;MONTH(AL6),TEXT(AM6,"mmm yy"),"")</f>
        <v/>
      </c>
      <c r="AN5" s="5" t="str">
        <f aca="false">IF(MONTH(AN6)&lt;&gt;MONTH(AM6),TEXT(AN6,"mmm yy"),"")</f>
        <v>May 27</v>
      </c>
      <c r="AO5" s="5" t="str">
        <f aca="false">IF(MONTH(AO6)&lt;&gt;MONTH(AN6),TEXT(AO6,"mmm yy"),"")</f>
        <v/>
      </c>
      <c r="AP5" s="5" t="str">
        <f aca="false">IF(MONTH(AP6)&lt;&gt;MONTH(AO6),TEXT(AP6,"mmm yy"),"")</f>
        <v/>
      </c>
      <c r="AQ5" s="5" t="str">
        <f aca="false">IF(MONTH(AQ6)&lt;&gt;MONTH(AP6),TEXT(AQ6,"mmm yy"),"")</f>
        <v/>
      </c>
      <c r="AR5" s="5" t="str">
        <f aca="false">IF(MONTH(AR6)&lt;&gt;MONTH(AQ6),TEXT(AR6,"mmm yy"),"")</f>
        <v/>
      </c>
      <c r="AS5" s="5" t="str">
        <f aca="false">IF(MONTH(AS6)&lt;&gt;MONTH(AR6),TEXT(AS6,"mmm yy"),"")</f>
        <v>Jun 27</v>
      </c>
      <c r="AT5" s="5" t="str">
        <f aca="false">IF(MONTH(AT6)&lt;&gt;MONTH(AS6),TEXT(AT6,"mmm yy"),"")</f>
        <v/>
      </c>
      <c r="AU5" s="5" t="str">
        <f aca="false">IF(MONTH(AU6)&lt;&gt;MONTH(AT6),TEXT(AU6,"mmm yy"),"")</f>
        <v/>
      </c>
      <c r="AV5" s="5" t="str">
        <f aca="false">IF(MONTH(AV6)&lt;&gt;MONTH(AU6),TEXT(AV6,"mmm yy"),"")</f>
        <v/>
      </c>
      <c r="AW5" s="5" t="str">
        <f aca="false">IF(MONTH(AW6)&lt;&gt;MONTH(AV6),TEXT(AW6,"mmm yy"),"")</f>
        <v>Jul 27</v>
      </c>
      <c r="AX5" s="5" t="str">
        <f aca="false">IF(MONTH(AX6)&lt;&gt;MONTH(AW6),TEXT(AX6,"mmm yy"),"")</f>
        <v/>
      </c>
      <c r="AY5" s="5" t="str">
        <f aca="false">IF(MONTH(AY6)&lt;&gt;MONTH(AX6),TEXT(AY6,"mmm yy"),"")</f>
        <v/>
      </c>
      <c r="AZ5" s="5" t="str">
        <f aca="false">IF(MONTH(AZ6)&lt;&gt;MONTH(AY6),TEXT(AZ6,"mmm yy"),"")</f>
        <v/>
      </c>
      <c r="BA5" s="5" t="str">
        <f aca="false">IF(MONTH(BA6)&lt;&gt;MONTH(AZ6),TEXT(BA6,"mmm yy"),"")</f>
        <v>Aug 27</v>
      </c>
      <c r="BB5" s="5" t="str">
        <f aca="false">IF(MONTH(BB6)&lt;&gt;MONTH(BA6),TEXT(BB6,"mmm yy"),"")</f>
        <v/>
      </c>
      <c r="BC5" s="5" t="str">
        <f aca="false">IF(MONTH(BC6)&lt;&gt;MONTH(BB6),TEXT(BC6,"mmm yy"),"")</f>
        <v/>
      </c>
      <c r="BD5" s="5" t="str">
        <f aca="false">IF(MONTH(BD6)&lt;&gt;MONTH(BC6),TEXT(BD6,"mmm yy"),"")</f>
        <v/>
      </c>
      <c r="BE5" s="5" t="str">
        <f aca="false">IF(MONTH(BE6)&lt;&gt;MONTH(BD6),TEXT(BE6,"mmm yy"),"")</f>
        <v/>
      </c>
      <c r="BF5" s="5" t="str">
        <f aca="false">IF(MONTH(BF6)&lt;&gt;MONTH(BE6),TEXT(BF6,"mmm yy"),"")</f>
        <v>Sep 27</v>
      </c>
      <c r="BG5" s="5" t="str">
        <f aca="false">IF(MONTH(BG6)&lt;&gt;MONTH(BF6),TEXT(BG6,"mmm yy"),"")</f>
        <v/>
      </c>
      <c r="BH5" s="5" t="str">
        <f aca="false">IF(MONTH(BH6)&lt;&gt;MONTH(BG6),TEXT(BH6,"mmm yy"),"")</f>
        <v/>
      </c>
      <c r="BI5" s="5" t="str">
        <f aca="false">IF(MONTH(BI6)&lt;&gt;MONTH(BH6),TEXT(BI6,"mmm yy"),"")</f>
        <v/>
      </c>
      <c r="BJ5" s="5" t="str">
        <f aca="false">IF(MONTH(BJ6)&lt;&gt;MONTH(BI6),TEXT(BJ6,"mmm yy"),"")</f>
        <v>Oct 27</v>
      </c>
      <c r="BK5" s="5" t="str">
        <f aca="false">IF(MONTH(BK6)&lt;&gt;MONTH(BJ6),TEXT(BK6,"mmm yy"),"")</f>
        <v/>
      </c>
      <c r="BL5" s="5" t="str">
        <f aca="false">IF(MONTH(BL6)&lt;&gt;MONTH(BK6),TEXT(BL6,"mmm yy"),"")</f>
        <v/>
      </c>
      <c r="BM5" s="5" t="str">
        <f aca="false">IF(MONTH(BM6)&lt;&gt;MONTH(BL6),TEXT(BM6,"mmm yy"),"")</f>
        <v/>
      </c>
      <c r="BN5" s="5" t="str">
        <f aca="false">IF(MONTH(BN6)&lt;&gt;MONTH(BM6),TEXT(BN6,"mmm yy"),"")</f>
        <v>Nov 27</v>
      </c>
      <c r="BO5" s="5" t="str">
        <f aca="false">IF(MONTH(BO6)&lt;&gt;MONTH(BN6),TEXT(BO6,"mmm yy"),"")</f>
        <v/>
      </c>
      <c r="BP5" s="5" t="str">
        <f aca="false">IF(MONTH(BP6)&lt;&gt;MONTH(BO6),TEXT(BP6,"mmm yy"),"")</f>
        <v/>
      </c>
      <c r="BQ5" s="5" t="str">
        <f aca="false">IF(MONTH(BQ6)&lt;&gt;MONTH(BP6),TEXT(BQ6,"mmm yy"),"")</f>
        <v/>
      </c>
      <c r="BR5" s="5" t="str">
        <f aca="false">IF(MONTH(BR6)&lt;&gt;MONTH(BQ6),TEXT(BR6,"mmm yy"),"")</f>
        <v/>
      </c>
      <c r="BS5" s="5" t="str">
        <f aca="false">IF(MONTH(BS6)&lt;&gt;MONTH(BR6),TEXT(BS6,"mmm yy"),"")</f>
        <v>Dec 27</v>
      </c>
      <c r="BT5" s="5" t="str">
        <f aca="false">IF(MONTH(BT6)&lt;&gt;MONTH(BS6),TEXT(BT6,"mmm yy"),"")</f>
        <v/>
      </c>
      <c r="BU5" s="5" t="str">
        <f aca="false">IF(MONTH(BU6)&lt;&gt;MONTH(BT6),TEXT(BU6,"mmm yy"),"")</f>
        <v/>
      </c>
      <c r="BV5" s="5" t="str">
        <f aca="false">IF(MONTH(BV6)&lt;&gt;MONTH(BU6),TEXT(BV6,"mmm yy"),"")</f>
        <v/>
      </c>
    </row>
    <row r="6" customFormat="false" ht="30" hidden="false" customHeight="true" outlineLevel="0" collapsed="false">
      <c r="A6" s="6" t="s">
        <v>4</v>
      </c>
      <c r="B6" s="6" t="s">
        <v>5</v>
      </c>
      <c r="C6" s="6" t="s">
        <v>6</v>
      </c>
      <c r="D6" s="6" t="s">
        <v>7</v>
      </c>
      <c r="E6" s="6" t="s">
        <v>8</v>
      </c>
      <c r="F6" s="6" t="s">
        <v>9</v>
      </c>
      <c r="G6" s="6" t="s">
        <v>10</v>
      </c>
      <c r="H6" s="6" t="s">
        <v>11</v>
      </c>
      <c r="I6" s="6" t="s">
        <v>12</v>
      </c>
      <c r="J6" s="6" t="s">
        <v>13</v>
      </c>
      <c r="K6" s="6" t="s">
        <v>14</v>
      </c>
      <c r="L6" s="6" t="s">
        <v>15</v>
      </c>
      <c r="N6" s="7" t="n">
        <f aca="false">$B$2</f>
        <v>46328</v>
      </c>
      <c r="O6" s="7" t="n">
        <f aca="false">N6+7</f>
        <v>46335</v>
      </c>
      <c r="P6" s="7" t="n">
        <f aca="false">O6+7</f>
        <v>46342</v>
      </c>
      <c r="Q6" s="7" t="n">
        <f aca="false">P6+7</f>
        <v>46349</v>
      </c>
      <c r="R6" s="7" t="n">
        <f aca="false">Q6+7</f>
        <v>46356</v>
      </c>
      <c r="S6" s="7" t="n">
        <f aca="false">R6+7</f>
        <v>46363</v>
      </c>
      <c r="T6" s="7" t="n">
        <f aca="false">S6+7</f>
        <v>46370</v>
      </c>
      <c r="U6" s="7" t="n">
        <f aca="false">T6+7</f>
        <v>46377</v>
      </c>
      <c r="V6" s="7" t="n">
        <f aca="false">U6+7</f>
        <v>46384</v>
      </c>
      <c r="W6" s="7" t="n">
        <f aca="false">V6+7</f>
        <v>46391</v>
      </c>
      <c r="X6" s="7" t="n">
        <f aca="false">W6+7</f>
        <v>46398</v>
      </c>
      <c r="Y6" s="7" t="n">
        <f aca="false">X6+7</f>
        <v>46405</v>
      </c>
      <c r="Z6" s="7" t="n">
        <f aca="false">Y6+7</f>
        <v>46412</v>
      </c>
      <c r="AA6" s="7" t="n">
        <f aca="false">Z6+7</f>
        <v>46419</v>
      </c>
      <c r="AB6" s="7" t="n">
        <f aca="false">AA6+7</f>
        <v>46426</v>
      </c>
      <c r="AC6" s="7" t="n">
        <f aca="false">AB6+7</f>
        <v>46433</v>
      </c>
      <c r="AD6" s="7" t="n">
        <f aca="false">AC6+7</f>
        <v>46440</v>
      </c>
      <c r="AE6" s="7" t="n">
        <f aca="false">AD6+7</f>
        <v>46447</v>
      </c>
      <c r="AF6" s="7" t="n">
        <f aca="false">AE6+7</f>
        <v>46454</v>
      </c>
      <c r="AG6" s="7" t="n">
        <f aca="false">AF6+7</f>
        <v>46461</v>
      </c>
      <c r="AH6" s="7" t="n">
        <f aca="false">AG6+7</f>
        <v>46468</v>
      </c>
      <c r="AI6" s="7" t="n">
        <f aca="false">AH6+7</f>
        <v>46475</v>
      </c>
      <c r="AJ6" s="7" t="n">
        <f aca="false">AI6+7</f>
        <v>46482</v>
      </c>
      <c r="AK6" s="7" t="n">
        <f aca="false">AJ6+7</f>
        <v>46489</v>
      </c>
      <c r="AL6" s="7" t="n">
        <f aca="false">AK6+7</f>
        <v>46496</v>
      </c>
      <c r="AM6" s="7" t="n">
        <f aca="false">AL6+7</f>
        <v>46503</v>
      </c>
      <c r="AN6" s="7" t="n">
        <f aca="false">AM6+7</f>
        <v>46510</v>
      </c>
      <c r="AO6" s="7" t="n">
        <f aca="false">AN6+7</f>
        <v>46517</v>
      </c>
      <c r="AP6" s="7" t="n">
        <f aca="false">AO6+7</f>
        <v>46524</v>
      </c>
      <c r="AQ6" s="7" t="n">
        <f aca="false">AP6+7</f>
        <v>46531</v>
      </c>
      <c r="AR6" s="7" t="n">
        <f aca="false">AQ6+7</f>
        <v>46538</v>
      </c>
      <c r="AS6" s="7" t="n">
        <f aca="false">AR6+7</f>
        <v>46545</v>
      </c>
      <c r="AT6" s="7" t="n">
        <f aca="false">AS6+7</f>
        <v>46552</v>
      </c>
      <c r="AU6" s="7" t="n">
        <f aca="false">AT6+7</f>
        <v>46559</v>
      </c>
      <c r="AV6" s="7" t="n">
        <f aca="false">AU6+7</f>
        <v>46566</v>
      </c>
      <c r="AW6" s="7" t="n">
        <f aca="false">AV6+7</f>
        <v>46573</v>
      </c>
      <c r="AX6" s="7" t="n">
        <f aca="false">AW6+7</f>
        <v>46580</v>
      </c>
      <c r="AY6" s="7" t="n">
        <f aca="false">AX6+7</f>
        <v>46587</v>
      </c>
      <c r="AZ6" s="7" t="n">
        <f aca="false">AY6+7</f>
        <v>46594</v>
      </c>
      <c r="BA6" s="7" t="n">
        <f aca="false">AZ6+7</f>
        <v>46601</v>
      </c>
      <c r="BB6" s="7" t="n">
        <f aca="false">BA6+7</f>
        <v>46608</v>
      </c>
      <c r="BC6" s="7" t="n">
        <f aca="false">BB6+7</f>
        <v>46615</v>
      </c>
      <c r="BD6" s="7" t="n">
        <f aca="false">BC6+7</f>
        <v>46622</v>
      </c>
      <c r="BE6" s="7" t="n">
        <f aca="false">BD6+7</f>
        <v>46629</v>
      </c>
      <c r="BF6" s="7" t="n">
        <f aca="false">BE6+7</f>
        <v>46636</v>
      </c>
      <c r="BG6" s="7" t="n">
        <f aca="false">BF6+7</f>
        <v>46643</v>
      </c>
      <c r="BH6" s="7" t="n">
        <f aca="false">BG6+7</f>
        <v>46650</v>
      </c>
      <c r="BI6" s="7" t="n">
        <f aca="false">BH6+7</f>
        <v>46657</v>
      </c>
      <c r="BJ6" s="7" t="n">
        <f aca="false">BI6+7</f>
        <v>46664</v>
      </c>
      <c r="BK6" s="7" t="n">
        <f aca="false">BJ6+7</f>
        <v>46671</v>
      </c>
      <c r="BL6" s="7" t="n">
        <f aca="false">BK6+7</f>
        <v>46678</v>
      </c>
      <c r="BM6" s="7" t="n">
        <f aca="false">BL6+7</f>
        <v>46685</v>
      </c>
      <c r="BN6" s="7" t="n">
        <f aca="false">BM6+7</f>
        <v>46692</v>
      </c>
      <c r="BO6" s="7" t="n">
        <f aca="false">BN6+7</f>
        <v>46699</v>
      </c>
      <c r="BP6" s="7" t="n">
        <f aca="false">BO6+7</f>
        <v>46706</v>
      </c>
      <c r="BQ6" s="7" t="n">
        <f aca="false">BP6+7</f>
        <v>46713</v>
      </c>
      <c r="BR6" s="7" t="n">
        <f aca="false">BQ6+7</f>
        <v>46720</v>
      </c>
      <c r="BS6" s="7" t="n">
        <f aca="false">BR6+7</f>
        <v>46727</v>
      </c>
      <c r="BT6" s="7" t="n">
        <f aca="false">BS6+7</f>
        <v>46734</v>
      </c>
      <c r="BU6" s="7" t="n">
        <f aca="false">BT6+7</f>
        <v>46741</v>
      </c>
      <c r="BV6" s="7" t="n">
        <f aca="false">BU6+7</f>
        <v>46748</v>
      </c>
    </row>
    <row r="7" customFormat="false" ht="15" hidden="false" customHeight="false" outlineLevel="0" collapsed="false">
      <c r="A7" s="8" t="s">
        <v>16</v>
      </c>
      <c r="B7" s="8" t="s">
        <v>17</v>
      </c>
      <c r="C7" s="8"/>
      <c r="D7" s="8" t="s">
        <v>5</v>
      </c>
      <c r="E7" s="8" t="s">
        <v>18</v>
      </c>
      <c r="F7" s="9" t="n">
        <v>0</v>
      </c>
      <c r="G7" s="9" t="n">
        <v>4</v>
      </c>
      <c r="H7" s="10" t="n">
        <f aca="false">$B$2+F7</f>
        <v>46328</v>
      </c>
      <c r="I7" s="10" t="n">
        <f aca="false">H7+G7</f>
        <v>46332</v>
      </c>
      <c r="J7" s="8" t="n">
        <f aca="false">IF(D7="Milestone",0,ROUND((G7+3)/7,0))</f>
        <v>1</v>
      </c>
      <c r="K7" s="8" t="s">
        <v>19</v>
      </c>
      <c r="L7" s="8" t="s">
        <v>20</v>
      </c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  <c r="BR7" s="11"/>
      <c r="BS7" s="11"/>
      <c r="BT7" s="11"/>
      <c r="BU7" s="11"/>
      <c r="BV7" s="11"/>
    </row>
    <row r="8" customFormat="false" ht="15" hidden="false" customHeight="false" outlineLevel="0" collapsed="false">
      <c r="A8" s="8" t="s">
        <v>16</v>
      </c>
      <c r="B8" s="8" t="s">
        <v>21</v>
      </c>
      <c r="C8" s="8"/>
      <c r="D8" s="8" t="s">
        <v>5</v>
      </c>
      <c r="E8" s="8" t="s">
        <v>18</v>
      </c>
      <c r="F8" s="9" t="n">
        <v>0</v>
      </c>
      <c r="G8" s="9" t="n">
        <v>11</v>
      </c>
      <c r="H8" s="10" t="n">
        <f aca="false">$B$2+F8</f>
        <v>46328</v>
      </c>
      <c r="I8" s="10" t="n">
        <f aca="false">H8+G8</f>
        <v>46339</v>
      </c>
      <c r="J8" s="8" t="n">
        <f aca="false">IF(D8="Milestone",0,ROUND((G8+3)/7,0))</f>
        <v>2</v>
      </c>
      <c r="K8" s="8" t="s">
        <v>19</v>
      </c>
      <c r="L8" s="8" t="s">
        <v>22</v>
      </c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  <c r="BR8" s="11"/>
      <c r="BS8" s="11"/>
      <c r="BT8" s="11"/>
      <c r="BU8" s="11"/>
      <c r="BV8" s="11"/>
    </row>
    <row r="9" customFormat="false" ht="15" hidden="false" customHeight="false" outlineLevel="0" collapsed="false">
      <c r="A9" s="8" t="s">
        <v>16</v>
      </c>
      <c r="B9" s="8" t="s">
        <v>23</v>
      </c>
      <c r="C9" s="8"/>
      <c r="D9" s="8" t="s">
        <v>24</v>
      </c>
      <c r="E9" s="8" t="s">
        <v>25</v>
      </c>
      <c r="F9" s="9" t="n">
        <v>0</v>
      </c>
      <c r="G9" s="9" t="n">
        <v>74</v>
      </c>
      <c r="H9" s="10" t="n">
        <f aca="false">$B$2+F9</f>
        <v>46328</v>
      </c>
      <c r="I9" s="10" t="n">
        <f aca="false">H9+G9</f>
        <v>46402</v>
      </c>
      <c r="J9" s="8" t="n">
        <f aca="false">IF(D9="Milestone",0,ROUND((G9+3)/7,0))</f>
        <v>11</v>
      </c>
      <c r="K9" s="8" t="s">
        <v>19</v>
      </c>
      <c r="L9" s="8" t="s">
        <v>26</v>
      </c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1"/>
    </row>
    <row r="10" customFormat="false" ht="15" hidden="false" customHeight="false" outlineLevel="0" collapsed="false">
      <c r="A10" s="8" t="s">
        <v>16</v>
      </c>
      <c r="B10" s="8" t="s">
        <v>27</v>
      </c>
      <c r="C10" s="8"/>
      <c r="D10" s="8" t="s">
        <v>24</v>
      </c>
      <c r="E10" s="8" t="s">
        <v>18</v>
      </c>
      <c r="F10" s="9" t="n">
        <v>0</v>
      </c>
      <c r="G10" s="9" t="n">
        <v>32</v>
      </c>
      <c r="H10" s="10" t="n">
        <f aca="false">$B$2+F10</f>
        <v>46328</v>
      </c>
      <c r="I10" s="10" t="n">
        <f aca="false">H10+G10</f>
        <v>46360</v>
      </c>
      <c r="J10" s="8" t="n">
        <f aca="false">IF(D10="Milestone",0,ROUND((G10+3)/7,0))</f>
        <v>5</v>
      </c>
      <c r="K10" s="8" t="s">
        <v>19</v>
      </c>
      <c r="L10" s="8" t="s">
        <v>28</v>
      </c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  <c r="BO10" s="11"/>
      <c r="BP10" s="11"/>
      <c r="BQ10" s="11"/>
      <c r="BR10" s="11"/>
      <c r="BS10" s="11"/>
      <c r="BT10" s="11"/>
      <c r="BU10" s="11"/>
      <c r="BV10" s="11"/>
    </row>
    <row r="11" customFormat="false" ht="15" hidden="false" customHeight="false" outlineLevel="0" collapsed="false">
      <c r="A11" s="8" t="s">
        <v>16</v>
      </c>
      <c r="B11" s="8" t="s">
        <v>29</v>
      </c>
      <c r="C11" s="8"/>
      <c r="D11" s="8" t="s">
        <v>24</v>
      </c>
      <c r="E11" s="8" t="s">
        <v>18</v>
      </c>
      <c r="F11" s="9" t="n">
        <v>0</v>
      </c>
      <c r="G11" s="9" t="n">
        <v>46</v>
      </c>
      <c r="H11" s="10" t="n">
        <f aca="false">$B$2+F11</f>
        <v>46328</v>
      </c>
      <c r="I11" s="10" t="n">
        <f aca="false">H11+G11</f>
        <v>46374</v>
      </c>
      <c r="J11" s="8" t="n">
        <f aca="false">IF(D11="Milestone",0,ROUND((G11+3)/7,0))</f>
        <v>7</v>
      </c>
      <c r="K11" s="8" t="s">
        <v>19</v>
      </c>
      <c r="L11" s="8" t="s">
        <v>30</v>
      </c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  <c r="BT11" s="11"/>
      <c r="BU11" s="11"/>
      <c r="BV11" s="11"/>
    </row>
    <row r="12" customFormat="false" ht="15" hidden="false" customHeight="false" outlineLevel="0" collapsed="false">
      <c r="A12" s="8" t="s">
        <v>16</v>
      </c>
      <c r="B12" s="8" t="s">
        <v>31</v>
      </c>
      <c r="C12" s="8" t="s">
        <v>32</v>
      </c>
      <c r="D12" s="8" t="s">
        <v>5</v>
      </c>
      <c r="E12" s="8" t="s">
        <v>18</v>
      </c>
      <c r="F12" s="9" t="n">
        <v>7</v>
      </c>
      <c r="G12" s="9" t="n">
        <v>18</v>
      </c>
      <c r="H12" s="10" t="n">
        <f aca="false">$B$2+F12</f>
        <v>46335</v>
      </c>
      <c r="I12" s="10" t="n">
        <f aca="false">H12+G12</f>
        <v>46353</v>
      </c>
      <c r="J12" s="8" t="n">
        <f aca="false">IF(D12="Milestone",0,ROUND((G12+3)/7,0))</f>
        <v>3</v>
      </c>
      <c r="K12" s="8" t="s">
        <v>19</v>
      </c>
      <c r="L12" s="8" t="s">
        <v>33</v>
      </c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11"/>
      <c r="BR12" s="11"/>
      <c r="BS12" s="11"/>
      <c r="BT12" s="11"/>
      <c r="BU12" s="11"/>
      <c r="BV12" s="11"/>
    </row>
    <row r="13" customFormat="false" ht="15" hidden="false" customHeight="false" outlineLevel="0" collapsed="false">
      <c r="A13" s="8" t="s">
        <v>16</v>
      </c>
      <c r="B13" s="8" t="s">
        <v>34</v>
      </c>
      <c r="C13" s="8" t="s">
        <v>32</v>
      </c>
      <c r="D13" s="8" t="s">
        <v>5</v>
      </c>
      <c r="E13" s="8" t="s">
        <v>18</v>
      </c>
      <c r="F13" s="9" t="n">
        <v>7</v>
      </c>
      <c r="G13" s="9" t="n">
        <v>18</v>
      </c>
      <c r="H13" s="10" t="n">
        <f aca="false">$B$2+F13</f>
        <v>46335</v>
      </c>
      <c r="I13" s="10" t="n">
        <f aca="false">H13+G13</f>
        <v>46353</v>
      </c>
      <c r="J13" s="8" t="n">
        <f aca="false">IF(D13="Milestone",0,ROUND((G13+3)/7,0))</f>
        <v>3</v>
      </c>
      <c r="K13" s="8" t="s">
        <v>19</v>
      </c>
      <c r="L13" s="8" t="s">
        <v>35</v>
      </c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11"/>
      <c r="BO13" s="11"/>
      <c r="BP13" s="11"/>
      <c r="BQ13" s="11"/>
      <c r="BR13" s="11"/>
      <c r="BS13" s="11"/>
      <c r="BT13" s="11"/>
      <c r="BU13" s="11"/>
      <c r="BV13" s="11"/>
    </row>
    <row r="14" customFormat="false" ht="15" hidden="false" customHeight="false" outlineLevel="0" collapsed="false">
      <c r="A14" s="8" t="s">
        <v>16</v>
      </c>
      <c r="B14" s="8" t="s">
        <v>36</v>
      </c>
      <c r="C14" s="8"/>
      <c r="D14" s="8" t="s">
        <v>5</v>
      </c>
      <c r="E14" s="8" t="s">
        <v>18</v>
      </c>
      <c r="F14" s="9" t="n">
        <v>7</v>
      </c>
      <c r="G14" s="9" t="n">
        <v>25</v>
      </c>
      <c r="H14" s="10" t="n">
        <f aca="false">$B$2+F14</f>
        <v>46335</v>
      </c>
      <c r="I14" s="10" t="n">
        <f aca="false">H14+G14</f>
        <v>46360</v>
      </c>
      <c r="J14" s="8" t="n">
        <f aca="false">IF(D14="Milestone",0,ROUND((G14+3)/7,0))</f>
        <v>4</v>
      </c>
      <c r="K14" s="8" t="s">
        <v>19</v>
      </c>
      <c r="L14" s="8" t="s">
        <v>37</v>
      </c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1"/>
      <c r="BL14" s="11"/>
      <c r="BM14" s="11"/>
      <c r="BN14" s="11"/>
      <c r="BO14" s="11"/>
      <c r="BP14" s="11"/>
      <c r="BQ14" s="11"/>
      <c r="BR14" s="11"/>
      <c r="BS14" s="11"/>
      <c r="BT14" s="11"/>
      <c r="BU14" s="11"/>
      <c r="BV14" s="11"/>
    </row>
    <row r="15" customFormat="false" ht="15" hidden="false" customHeight="false" outlineLevel="0" collapsed="false">
      <c r="A15" s="8" t="s">
        <v>38</v>
      </c>
      <c r="B15" s="8" t="s">
        <v>39</v>
      </c>
      <c r="C15" s="8" t="s">
        <v>40</v>
      </c>
      <c r="D15" s="8" t="s">
        <v>5</v>
      </c>
      <c r="E15" s="8" t="s">
        <v>18</v>
      </c>
      <c r="F15" s="9" t="n">
        <v>28</v>
      </c>
      <c r="G15" s="9" t="n">
        <v>18</v>
      </c>
      <c r="H15" s="10" t="n">
        <f aca="false">$B$2+F15</f>
        <v>46356</v>
      </c>
      <c r="I15" s="10" t="n">
        <f aca="false">H15+G15</f>
        <v>46374</v>
      </c>
      <c r="J15" s="8" t="n">
        <f aca="false">IF(D15="Milestone",0,ROUND((G15+3)/7,0))</f>
        <v>3</v>
      </c>
      <c r="K15" s="8" t="s">
        <v>19</v>
      </c>
      <c r="L15" s="8" t="s">
        <v>41</v>
      </c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1"/>
      <c r="BR15" s="11"/>
      <c r="BS15" s="11"/>
      <c r="BT15" s="11"/>
      <c r="BU15" s="11"/>
      <c r="BV15" s="11"/>
    </row>
    <row r="16" customFormat="false" ht="15" hidden="false" customHeight="false" outlineLevel="0" collapsed="false">
      <c r="A16" s="8" t="s">
        <v>38</v>
      </c>
      <c r="B16" s="8" t="s">
        <v>42</v>
      </c>
      <c r="C16" s="8" t="s">
        <v>43</v>
      </c>
      <c r="D16" s="8" t="s">
        <v>5</v>
      </c>
      <c r="E16" s="8" t="s">
        <v>18</v>
      </c>
      <c r="F16" s="9" t="n">
        <v>35</v>
      </c>
      <c r="G16" s="9" t="n">
        <v>46</v>
      </c>
      <c r="H16" s="10" t="n">
        <f aca="false">$B$2+F16</f>
        <v>46363</v>
      </c>
      <c r="I16" s="10" t="n">
        <f aca="false">H16+G16</f>
        <v>46409</v>
      </c>
      <c r="J16" s="8" t="n">
        <f aca="false">IF(D16="Milestone",0,ROUND((G16+3)/7,0))</f>
        <v>7</v>
      </c>
      <c r="K16" s="8" t="s">
        <v>19</v>
      </c>
      <c r="L16" s="8" t="s">
        <v>44</v>
      </c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  <c r="BO16" s="11"/>
      <c r="BP16" s="11"/>
      <c r="BQ16" s="11"/>
      <c r="BR16" s="11"/>
      <c r="BS16" s="11"/>
      <c r="BT16" s="11"/>
      <c r="BU16" s="11"/>
      <c r="BV16" s="11"/>
    </row>
    <row r="17" customFormat="false" ht="15" hidden="false" customHeight="false" outlineLevel="0" collapsed="false">
      <c r="A17" s="8" t="s">
        <v>38</v>
      </c>
      <c r="B17" s="8" t="s">
        <v>45</v>
      </c>
      <c r="C17" s="8" t="s">
        <v>46</v>
      </c>
      <c r="D17" s="8" t="s">
        <v>5</v>
      </c>
      <c r="E17" s="8" t="s">
        <v>18</v>
      </c>
      <c r="F17" s="9" t="n">
        <v>63</v>
      </c>
      <c r="G17" s="9" t="n">
        <v>32</v>
      </c>
      <c r="H17" s="10" t="n">
        <f aca="false">$B$2+F17</f>
        <v>46391</v>
      </c>
      <c r="I17" s="10" t="n">
        <f aca="false">H17+G17</f>
        <v>46423</v>
      </c>
      <c r="J17" s="8" t="n">
        <f aca="false">IF(D17="Milestone",0,ROUND((G17+3)/7,0))</f>
        <v>5</v>
      </c>
      <c r="K17" s="8" t="s">
        <v>19</v>
      </c>
      <c r="L17" s="8" t="s">
        <v>47</v>
      </c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  <c r="BR17" s="11"/>
      <c r="BS17" s="11"/>
      <c r="BT17" s="11"/>
      <c r="BU17" s="11"/>
      <c r="BV17" s="11"/>
    </row>
    <row r="18" customFormat="false" ht="15" hidden="false" customHeight="false" outlineLevel="0" collapsed="false">
      <c r="A18" s="8" t="s">
        <v>38</v>
      </c>
      <c r="B18" s="8" t="s">
        <v>48</v>
      </c>
      <c r="C18" s="8" t="s">
        <v>49</v>
      </c>
      <c r="D18" s="8" t="s">
        <v>5</v>
      </c>
      <c r="E18" s="8" t="s">
        <v>18</v>
      </c>
      <c r="F18" s="9" t="n">
        <v>77</v>
      </c>
      <c r="G18" s="9" t="n">
        <v>25</v>
      </c>
      <c r="H18" s="10" t="n">
        <f aca="false">$B$2+F18</f>
        <v>46405</v>
      </c>
      <c r="I18" s="10" t="n">
        <f aca="false">H18+G18</f>
        <v>46430</v>
      </c>
      <c r="J18" s="8" t="n">
        <f aca="false">IF(D18="Milestone",0,ROUND((G18+3)/7,0))</f>
        <v>4</v>
      </c>
      <c r="K18" s="8" t="s">
        <v>19</v>
      </c>
      <c r="L18" s="8" t="s">
        <v>50</v>
      </c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  <c r="BK18" s="11"/>
      <c r="BL18" s="11"/>
      <c r="BM18" s="11"/>
      <c r="BN18" s="11"/>
      <c r="BO18" s="11"/>
      <c r="BP18" s="11"/>
      <c r="BQ18" s="11"/>
      <c r="BR18" s="11"/>
      <c r="BS18" s="11"/>
      <c r="BT18" s="11"/>
      <c r="BU18" s="11"/>
      <c r="BV18" s="11"/>
    </row>
    <row r="19" customFormat="false" ht="15" hidden="false" customHeight="false" outlineLevel="0" collapsed="false">
      <c r="A19" s="8" t="s">
        <v>38</v>
      </c>
      <c r="B19" s="8" t="s">
        <v>51</v>
      </c>
      <c r="C19" s="8" t="s">
        <v>49</v>
      </c>
      <c r="D19" s="8" t="s">
        <v>5</v>
      </c>
      <c r="E19" s="8" t="s">
        <v>25</v>
      </c>
      <c r="F19" s="9" t="n">
        <v>70</v>
      </c>
      <c r="G19" s="9" t="n">
        <v>39</v>
      </c>
      <c r="H19" s="10" t="n">
        <f aca="false">$B$2+F19</f>
        <v>46398</v>
      </c>
      <c r="I19" s="10" t="n">
        <f aca="false">H19+G19</f>
        <v>46437</v>
      </c>
      <c r="J19" s="8" t="n">
        <f aca="false">IF(D19="Milestone",0,ROUND((G19+3)/7,0))</f>
        <v>6</v>
      </c>
      <c r="K19" s="8" t="s">
        <v>19</v>
      </c>
      <c r="L19" s="8" t="s">
        <v>52</v>
      </c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  <c r="BK19" s="11"/>
      <c r="BL19" s="11"/>
      <c r="BM19" s="11"/>
      <c r="BN19" s="11"/>
      <c r="BO19" s="11"/>
      <c r="BP19" s="11"/>
      <c r="BQ19" s="11"/>
      <c r="BR19" s="11"/>
      <c r="BS19" s="11"/>
      <c r="BT19" s="11"/>
      <c r="BU19" s="11"/>
      <c r="BV19" s="11"/>
    </row>
    <row r="20" customFormat="false" ht="15" hidden="false" customHeight="false" outlineLevel="0" collapsed="false">
      <c r="A20" s="8" t="s">
        <v>38</v>
      </c>
      <c r="B20" s="8" t="s">
        <v>53</v>
      </c>
      <c r="C20" s="8" t="s">
        <v>54</v>
      </c>
      <c r="D20" s="8" t="s">
        <v>5</v>
      </c>
      <c r="E20" s="8" t="s">
        <v>18</v>
      </c>
      <c r="F20" s="9" t="n">
        <v>91</v>
      </c>
      <c r="G20" s="9" t="n">
        <v>18</v>
      </c>
      <c r="H20" s="10" t="n">
        <f aca="false">$B$2+F20</f>
        <v>46419</v>
      </c>
      <c r="I20" s="10" t="n">
        <f aca="false">H20+G20</f>
        <v>46437</v>
      </c>
      <c r="J20" s="8" t="n">
        <f aca="false">IF(D20="Milestone",0,ROUND((G20+3)/7,0))</f>
        <v>3</v>
      </c>
      <c r="K20" s="8" t="s">
        <v>19</v>
      </c>
      <c r="L20" s="8" t="s">
        <v>55</v>
      </c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  <c r="BM20" s="11"/>
      <c r="BN20" s="11"/>
      <c r="BO20" s="11"/>
      <c r="BP20" s="11"/>
      <c r="BQ20" s="11"/>
      <c r="BR20" s="11"/>
      <c r="BS20" s="11"/>
      <c r="BT20" s="11"/>
      <c r="BU20" s="11"/>
      <c r="BV20" s="11"/>
    </row>
    <row r="21" customFormat="false" ht="15" hidden="false" customHeight="false" outlineLevel="0" collapsed="false">
      <c r="A21" s="8" t="s">
        <v>38</v>
      </c>
      <c r="B21" s="8" t="s">
        <v>56</v>
      </c>
      <c r="C21" s="8" t="s">
        <v>32</v>
      </c>
      <c r="D21" s="8" t="s">
        <v>5</v>
      </c>
      <c r="E21" s="8" t="s">
        <v>18</v>
      </c>
      <c r="F21" s="9" t="n">
        <v>91</v>
      </c>
      <c r="G21" s="9" t="n">
        <v>25</v>
      </c>
      <c r="H21" s="10" t="n">
        <f aca="false">$B$2+F21</f>
        <v>46419</v>
      </c>
      <c r="I21" s="10" t="n">
        <f aca="false">H21+G21</f>
        <v>46444</v>
      </c>
      <c r="J21" s="8" t="n">
        <f aca="false">IF(D21="Milestone",0,ROUND((G21+3)/7,0))</f>
        <v>4</v>
      </c>
      <c r="K21" s="8" t="s">
        <v>19</v>
      </c>
      <c r="L21" s="8" t="s">
        <v>57</v>
      </c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1"/>
      <c r="BM21" s="11"/>
      <c r="BN21" s="11"/>
      <c r="BO21" s="11"/>
      <c r="BP21" s="11"/>
      <c r="BQ21" s="11"/>
      <c r="BR21" s="11"/>
      <c r="BS21" s="11"/>
      <c r="BT21" s="11"/>
      <c r="BU21" s="11"/>
      <c r="BV21" s="11"/>
    </row>
    <row r="22" customFormat="false" ht="15" hidden="false" customHeight="false" outlineLevel="0" collapsed="false">
      <c r="A22" s="8" t="s">
        <v>38</v>
      </c>
      <c r="B22" s="8" t="s">
        <v>58</v>
      </c>
      <c r="C22" s="8" t="s">
        <v>32</v>
      </c>
      <c r="D22" s="8" t="s">
        <v>5</v>
      </c>
      <c r="E22" s="8" t="s">
        <v>18</v>
      </c>
      <c r="F22" s="9" t="n">
        <v>105</v>
      </c>
      <c r="G22" s="9" t="n">
        <v>18</v>
      </c>
      <c r="H22" s="10" t="n">
        <f aca="false">$B$2+F22</f>
        <v>46433</v>
      </c>
      <c r="I22" s="10" t="n">
        <f aca="false">H22+G22</f>
        <v>46451</v>
      </c>
      <c r="J22" s="8" t="n">
        <f aca="false">IF(D22="Milestone",0,ROUND((G22+3)/7,0))</f>
        <v>3</v>
      </c>
      <c r="K22" s="8" t="s">
        <v>19</v>
      </c>
      <c r="L22" s="8" t="s">
        <v>59</v>
      </c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  <c r="BK22" s="11"/>
      <c r="BL22" s="11"/>
      <c r="BM22" s="11"/>
      <c r="BN22" s="11"/>
      <c r="BO22" s="11"/>
      <c r="BP22" s="11"/>
      <c r="BQ22" s="11"/>
      <c r="BR22" s="11"/>
      <c r="BS22" s="11"/>
      <c r="BT22" s="11"/>
      <c r="BU22" s="11"/>
      <c r="BV22" s="11"/>
    </row>
    <row r="23" customFormat="false" ht="15" hidden="false" customHeight="false" outlineLevel="0" collapsed="false">
      <c r="A23" s="8" t="s">
        <v>38</v>
      </c>
      <c r="B23" s="8" t="s">
        <v>60</v>
      </c>
      <c r="C23" s="8"/>
      <c r="D23" s="8" t="s">
        <v>5</v>
      </c>
      <c r="E23" s="8" t="s">
        <v>25</v>
      </c>
      <c r="F23" s="9" t="n">
        <v>112</v>
      </c>
      <c r="G23" s="9" t="n">
        <v>18</v>
      </c>
      <c r="H23" s="10" t="n">
        <f aca="false">$B$2+F23</f>
        <v>46440</v>
      </c>
      <c r="I23" s="10" t="n">
        <f aca="false">H23+G23</f>
        <v>46458</v>
      </c>
      <c r="J23" s="8" t="n">
        <f aca="false">IF(D23="Milestone",0,ROUND((G23+3)/7,0))</f>
        <v>3</v>
      </c>
      <c r="K23" s="8" t="s">
        <v>19</v>
      </c>
      <c r="L23" s="8" t="s">
        <v>61</v>
      </c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  <c r="BM23" s="11"/>
      <c r="BN23" s="11"/>
      <c r="BO23" s="11"/>
      <c r="BP23" s="11"/>
      <c r="BQ23" s="11"/>
      <c r="BR23" s="11"/>
      <c r="BS23" s="11"/>
      <c r="BT23" s="11"/>
      <c r="BU23" s="11"/>
      <c r="BV23" s="11"/>
    </row>
    <row r="24" customFormat="false" ht="15" hidden="false" customHeight="false" outlineLevel="0" collapsed="false">
      <c r="A24" s="8" t="s">
        <v>38</v>
      </c>
      <c r="B24" s="8" t="s">
        <v>62</v>
      </c>
      <c r="C24" s="8"/>
      <c r="D24" s="8" t="s">
        <v>5</v>
      </c>
      <c r="E24" s="8" t="s">
        <v>25</v>
      </c>
      <c r="F24" s="9" t="n">
        <v>133</v>
      </c>
      <c r="G24" s="9" t="n">
        <v>11</v>
      </c>
      <c r="H24" s="10" t="n">
        <f aca="false">$B$2+F24</f>
        <v>46461</v>
      </c>
      <c r="I24" s="10" t="n">
        <f aca="false">H24+G24</f>
        <v>46472</v>
      </c>
      <c r="J24" s="8" t="n">
        <f aca="false">IF(D24="Milestone",0,ROUND((G24+3)/7,0))</f>
        <v>2</v>
      </c>
      <c r="K24" s="8" t="s">
        <v>19</v>
      </c>
      <c r="L24" s="8" t="s">
        <v>63</v>
      </c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  <c r="BM24" s="11"/>
      <c r="BN24" s="11"/>
      <c r="BO24" s="11"/>
      <c r="BP24" s="11"/>
      <c r="BQ24" s="11"/>
      <c r="BR24" s="11"/>
      <c r="BS24" s="11"/>
      <c r="BT24" s="11"/>
      <c r="BU24" s="11"/>
      <c r="BV24" s="11"/>
    </row>
    <row r="25" customFormat="false" ht="15" hidden="false" customHeight="false" outlineLevel="0" collapsed="false">
      <c r="A25" s="12" t="s">
        <v>38</v>
      </c>
      <c r="B25" s="12" t="s">
        <v>64</v>
      </c>
      <c r="C25" s="12"/>
      <c r="D25" s="12" t="s">
        <v>65</v>
      </c>
      <c r="E25" s="12" t="s">
        <v>25</v>
      </c>
      <c r="F25" s="12" t="n">
        <v>144</v>
      </c>
      <c r="G25" s="12" t="n">
        <v>0</v>
      </c>
      <c r="H25" s="13" t="n">
        <f aca="false">$B$2+F25</f>
        <v>46472</v>
      </c>
      <c r="I25" s="13" t="n">
        <f aca="false">H25+G25</f>
        <v>46472</v>
      </c>
      <c r="J25" s="12" t="n">
        <f aca="false">IF(D25="Milestone",0,ROUND((G25+3)/7,0))</f>
        <v>0</v>
      </c>
      <c r="K25" s="12" t="s">
        <v>19</v>
      </c>
      <c r="L25" s="12" t="s">
        <v>66</v>
      </c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  <c r="BM25" s="11"/>
      <c r="BN25" s="11"/>
      <c r="BO25" s="11"/>
      <c r="BP25" s="11"/>
      <c r="BQ25" s="11"/>
      <c r="BR25" s="11"/>
      <c r="BS25" s="11"/>
      <c r="BT25" s="11"/>
      <c r="BU25" s="11"/>
      <c r="BV25" s="11"/>
    </row>
    <row r="26" customFormat="false" ht="15" hidden="false" customHeight="false" outlineLevel="0" collapsed="false">
      <c r="A26" s="8" t="s">
        <v>38</v>
      </c>
      <c r="B26" s="8" t="s">
        <v>67</v>
      </c>
      <c r="C26" s="8"/>
      <c r="D26" s="8" t="s">
        <v>5</v>
      </c>
      <c r="E26" s="8" t="s">
        <v>25</v>
      </c>
      <c r="F26" s="9" t="n">
        <v>147</v>
      </c>
      <c r="G26" s="9" t="n">
        <v>25</v>
      </c>
      <c r="H26" s="10" t="n">
        <f aca="false">$B$2+F26</f>
        <v>46475</v>
      </c>
      <c r="I26" s="10" t="n">
        <f aca="false">H26+G26</f>
        <v>46500</v>
      </c>
      <c r="J26" s="8" t="n">
        <f aca="false">IF(D26="Milestone",0,ROUND((G26+3)/7,0))</f>
        <v>4</v>
      </c>
      <c r="K26" s="8" t="s">
        <v>19</v>
      </c>
      <c r="L26" s="8" t="s">
        <v>68</v>
      </c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1"/>
      <c r="BM26" s="11"/>
      <c r="BN26" s="11"/>
      <c r="BO26" s="11"/>
      <c r="BP26" s="11"/>
      <c r="BQ26" s="11"/>
      <c r="BR26" s="11"/>
      <c r="BS26" s="11"/>
      <c r="BT26" s="11"/>
      <c r="BU26" s="11"/>
      <c r="BV26" s="11"/>
    </row>
    <row r="27" customFormat="false" ht="15" hidden="false" customHeight="false" outlineLevel="0" collapsed="false">
      <c r="A27" s="12" t="s">
        <v>38</v>
      </c>
      <c r="B27" s="12" t="s">
        <v>69</v>
      </c>
      <c r="C27" s="12"/>
      <c r="D27" s="12" t="s">
        <v>65</v>
      </c>
      <c r="E27" s="12" t="s">
        <v>25</v>
      </c>
      <c r="F27" s="12" t="n">
        <v>175</v>
      </c>
      <c r="G27" s="12" t="n">
        <v>0</v>
      </c>
      <c r="H27" s="13" t="n">
        <f aca="false">$B$2+F27</f>
        <v>46503</v>
      </c>
      <c r="I27" s="13" t="n">
        <f aca="false">H27+G27</f>
        <v>46503</v>
      </c>
      <c r="J27" s="12" t="n">
        <f aca="false">IF(D27="Milestone",0,ROUND((G27+3)/7,0))</f>
        <v>0</v>
      </c>
      <c r="K27" s="12" t="s">
        <v>19</v>
      </c>
      <c r="L27" s="12" t="s">
        <v>70</v>
      </c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  <c r="BM27" s="11"/>
      <c r="BN27" s="11"/>
      <c r="BO27" s="11"/>
      <c r="BP27" s="11"/>
      <c r="BQ27" s="11"/>
      <c r="BR27" s="11"/>
      <c r="BS27" s="11"/>
      <c r="BT27" s="11"/>
      <c r="BU27" s="11"/>
      <c r="BV27" s="11"/>
    </row>
    <row r="28" customFormat="false" ht="15" hidden="false" customHeight="false" outlineLevel="0" collapsed="false">
      <c r="A28" s="8" t="s">
        <v>71</v>
      </c>
      <c r="B28" s="8" t="s">
        <v>72</v>
      </c>
      <c r="C28" s="8" t="s">
        <v>73</v>
      </c>
      <c r="D28" s="8" t="s">
        <v>5</v>
      </c>
      <c r="E28" s="8" t="s">
        <v>18</v>
      </c>
      <c r="F28" s="9" t="n">
        <v>147</v>
      </c>
      <c r="G28" s="9" t="n">
        <v>32</v>
      </c>
      <c r="H28" s="10" t="n">
        <f aca="false">$B$2+F28</f>
        <v>46475</v>
      </c>
      <c r="I28" s="10" t="n">
        <f aca="false">H28+G28</f>
        <v>46507</v>
      </c>
      <c r="J28" s="8" t="n">
        <f aca="false">IF(D28="Milestone",0,ROUND((G28+3)/7,0))</f>
        <v>5</v>
      </c>
      <c r="K28" s="8" t="s">
        <v>19</v>
      </c>
      <c r="L28" s="8" t="s">
        <v>74</v>
      </c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1"/>
      <c r="BK28" s="11"/>
      <c r="BL28" s="11"/>
      <c r="BM28" s="11"/>
      <c r="BN28" s="11"/>
      <c r="BO28" s="11"/>
      <c r="BP28" s="11"/>
      <c r="BQ28" s="11"/>
      <c r="BR28" s="11"/>
      <c r="BS28" s="11"/>
      <c r="BT28" s="11"/>
      <c r="BU28" s="11"/>
      <c r="BV28" s="11"/>
    </row>
    <row r="29" customFormat="false" ht="15" hidden="false" customHeight="false" outlineLevel="0" collapsed="false">
      <c r="A29" s="8" t="s">
        <v>71</v>
      </c>
      <c r="B29" s="8" t="s">
        <v>75</v>
      </c>
      <c r="C29" s="8" t="s">
        <v>76</v>
      </c>
      <c r="D29" s="8" t="s">
        <v>5</v>
      </c>
      <c r="E29" s="8" t="s">
        <v>18</v>
      </c>
      <c r="F29" s="9" t="n">
        <v>161</v>
      </c>
      <c r="G29" s="9" t="n">
        <v>32</v>
      </c>
      <c r="H29" s="10" t="n">
        <f aca="false">$B$2+F29</f>
        <v>46489</v>
      </c>
      <c r="I29" s="10" t="n">
        <f aca="false">H29+G29</f>
        <v>46521</v>
      </c>
      <c r="J29" s="8" t="n">
        <f aca="false">IF(D29="Milestone",0,ROUND((G29+3)/7,0))</f>
        <v>5</v>
      </c>
      <c r="K29" s="8" t="s">
        <v>19</v>
      </c>
      <c r="L29" s="8" t="s">
        <v>77</v>
      </c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1"/>
      <c r="BL29" s="11"/>
      <c r="BM29" s="11"/>
      <c r="BN29" s="11"/>
      <c r="BO29" s="11"/>
      <c r="BP29" s="11"/>
      <c r="BQ29" s="11"/>
      <c r="BR29" s="11"/>
      <c r="BS29" s="11"/>
      <c r="BT29" s="11"/>
      <c r="BU29" s="11"/>
      <c r="BV29" s="11"/>
    </row>
    <row r="30" customFormat="false" ht="15" hidden="false" customHeight="false" outlineLevel="0" collapsed="false">
      <c r="A30" s="8" t="s">
        <v>71</v>
      </c>
      <c r="B30" s="8" t="s">
        <v>78</v>
      </c>
      <c r="C30" s="8" t="s">
        <v>79</v>
      </c>
      <c r="D30" s="8" t="s">
        <v>5</v>
      </c>
      <c r="E30" s="8" t="s">
        <v>18</v>
      </c>
      <c r="F30" s="9" t="n">
        <v>168</v>
      </c>
      <c r="G30" s="9" t="n">
        <v>25</v>
      </c>
      <c r="H30" s="10" t="n">
        <f aca="false">$B$2+F30</f>
        <v>46496</v>
      </c>
      <c r="I30" s="10" t="n">
        <f aca="false">H30+G30</f>
        <v>46521</v>
      </c>
      <c r="J30" s="8" t="n">
        <f aca="false">IF(D30="Milestone",0,ROUND((G30+3)/7,0))</f>
        <v>4</v>
      </c>
      <c r="K30" s="8" t="s">
        <v>19</v>
      </c>
      <c r="L30" s="8" t="s">
        <v>80</v>
      </c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  <c r="BK30" s="11"/>
      <c r="BL30" s="11"/>
      <c r="BM30" s="11"/>
      <c r="BN30" s="11"/>
      <c r="BO30" s="11"/>
      <c r="BP30" s="11"/>
      <c r="BQ30" s="11"/>
      <c r="BR30" s="11"/>
      <c r="BS30" s="11"/>
      <c r="BT30" s="11"/>
      <c r="BU30" s="11"/>
      <c r="BV30" s="11"/>
    </row>
    <row r="31" customFormat="false" ht="15" hidden="false" customHeight="false" outlineLevel="0" collapsed="false">
      <c r="A31" s="8" t="s">
        <v>71</v>
      </c>
      <c r="B31" s="8" t="s">
        <v>81</v>
      </c>
      <c r="C31" s="8" t="s">
        <v>82</v>
      </c>
      <c r="D31" s="8" t="s">
        <v>5</v>
      </c>
      <c r="E31" s="8" t="s">
        <v>18</v>
      </c>
      <c r="F31" s="9" t="n">
        <v>175</v>
      </c>
      <c r="G31" s="9" t="n">
        <v>25</v>
      </c>
      <c r="H31" s="10" t="n">
        <f aca="false">$B$2+F31</f>
        <v>46503</v>
      </c>
      <c r="I31" s="10" t="n">
        <f aca="false">H31+G31</f>
        <v>46528</v>
      </c>
      <c r="J31" s="8" t="n">
        <f aca="false">IF(D31="Milestone",0,ROUND((G31+3)/7,0))</f>
        <v>4</v>
      </c>
      <c r="K31" s="8" t="s">
        <v>19</v>
      </c>
      <c r="L31" s="8" t="s">
        <v>83</v>
      </c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  <c r="BK31" s="11"/>
      <c r="BL31" s="11"/>
      <c r="BM31" s="11"/>
      <c r="BN31" s="11"/>
      <c r="BO31" s="11"/>
      <c r="BP31" s="11"/>
      <c r="BQ31" s="11"/>
      <c r="BR31" s="11"/>
      <c r="BS31" s="11"/>
      <c r="BT31" s="11"/>
      <c r="BU31" s="11"/>
      <c r="BV31" s="11"/>
    </row>
    <row r="32" customFormat="false" ht="15" hidden="false" customHeight="false" outlineLevel="0" collapsed="false">
      <c r="A32" s="8" t="s">
        <v>71</v>
      </c>
      <c r="B32" s="8" t="s">
        <v>84</v>
      </c>
      <c r="C32" s="8" t="s">
        <v>85</v>
      </c>
      <c r="D32" s="8" t="s">
        <v>5</v>
      </c>
      <c r="E32" s="8" t="s">
        <v>18</v>
      </c>
      <c r="F32" s="9" t="n">
        <v>182</v>
      </c>
      <c r="G32" s="9" t="n">
        <v>18</v>
      </c>
      <c r="H32" s="10" t="n">
        <f aca="false">$B$2+F32</f>
        <v>46510</v>
      </c>
      <c r="I32" s="10" t="n">
        <f aca="false">H32+G32</f>
        <v>46528</v>
      </c>
      <c r="J32" s="8" t="n">
        <f aca="false">IF(D32="Milestone",0,ROUND((G32+3)/7,0))</f>
        <v>3</v>
      </c>
      <c r="K32" s="8" t="s">
        <v>19</v>
      </c>
      <c r="L32" s="8" t="s">
        <v>86</v>
      </c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11"/>
      <c r="BK32" s="11"/>
      <c r="BL32" s="11"/>
      <c r="BM32" s="11"/>
      <c r="BN32" s="11"/>
      <c r="BO32" s="11"/>
      <c r="BP32" s="11"/>
      <c r="BQ32" s="11"/>
      <c r="BR32" s="11"/>
      <c r="BS32" s="11"/>
      <c r="BT32" s="11"/>
      <c r="BU32" s="11"/>
      <c r="BV32" s="11"/>
    </row>
    <row r="33" customFormat="false" ht="15" hidden="false" customHeight="false" outlineLevel="0" collapsed="false">
      <c r="A33" s="8" t="s">
        <v>71</v>
      </c>
      <c r="B33" s="8" t="s">
        <v>87</v>
      </c>
      <c r="C33" s="8"/>
      <c r="D33" s="8" t="s">
        <v>5</v>
      </c>
      <c r="E33" s="8" t="s">
        <v>18</v>
      </c>
      <c r="F33" s="9" t="n">
        <v>203</v>
      </c>
      <c r="G33" s="9" t="n">
        <v>11</v>
      </c>
      <c r="H33" s="10" t="n">
        <f aca="false">$B$2+F33</f>
        <v>46531</v>
      </c>
      <c r="I33" s="10" t="n">
        <f aca="false">H33+G33</f>
        <v>46542</v>
      </c>
      <c r="J33" s="8" t="n">
        <f aca="false">IF(D33="Milestone",0,ROUND((G33+3)/7,0))</f>
        <v>2</v>
      </c>
      <c r="K33" s="8" t="s">
        <v>19</v>
      </c>
      <c r="L33" s="8" t="s">
        <v>88</v>
      </c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  <c r="BM33" s="11"/>
      <c r="BN33" s="11"/>
      <c r="BO33" s="11"/>
      <c r="BP33" s="11"/>
      <c r="BQ33" s="11"/>
      <c r="BR33" s="11"/>
      <c r="BS33" s="11"/>
      <c r="BT33" s="11"/>
      <c r="BU33" s="11"/>
      <c r="BV33" s="11"/>
    </row>
    <row r="34" customFormat="false" ht="15" hidden="false" customHeight="false" outlineLevel="0" collapsed="false">
      <c r="A34" s="12" t="s">
        <v>71</v>
      </c>
      <c r="B34" s="12" t="s">
        <v>89</v>
      </c>
      <c r="C34" s="12"/>
      <c r="D34" s="12" t="s">
        <v>65</v>
      </c>
      <c r="E34" s="12" t="s">
        <v>18</v>
      </c>
      <c r="F34" s="12" t="n">
        <v>214</v>
      </c>
      <c r="G34" s="12" t="n">
        <v>0</v>
      </c>
      <c r="H34" s="13" t="n">
        <f aca="false">$B$2+F34</f>
        <v>46542</v>
      </c>
      <c r="I34" s="13" t="n">
        <f aca="false">H34+G34</f>
        <v>46542</v>
      </c>
      <c r="J34" s="12" t="n">
        <f aca="false">IF(D34="Milestone",0,ROUND((G34+3)/7,0))</f>
        <v>0</v>
      </c>
      <c r="K34" s="12" t="s">
        <v>19</v>
      </c>
      <c r="L34" s="12" t="s">
        <v>66</v>
      </c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11"/>
      <c r="BK34" s="11"/>
      <c r="BL34" s="11"/>
      <c r="BM34" s="11"/>
      <c r="BN34" s="11"/>
      <c r="BO34" s="11"/>
      <c r="BP34" s="11"/>
      <c r="BQ34" s="11"/>
      <c r="BR34" s="11"/>
      <c r="BS34" s="11"/>
      <c r="BT34" s="11"/>
      <c r="BU34" s="11"/>
      <c r="BV34" s="11"/>
    </row>
    <row r="35" customFormat="false" ht="15" hidden="false" customHeight="false" outlineLevel="0" collapsed="false">
      <c r="A35" s="8" t="s">
        <v>90</v>
      </c>
      <c r="B35" s="8" t="s">
        <v>91</v>
      </c>
      <c r="C35" s="8" t="s">
        <v>92</v>
      </c>
      <c r="D35" s="8" t="s">
        <v>5</v>
      </c>
      <c r="E35" s="8" t="s">
        <v>18</v>
      </c>
      <c r="F35" s="9" t="n">
        <v>217</v>
      </c>
      <c r="G35" s="9" t="n">
        <v>32</v>
      </c>
      <c r="H35" s="10" t="n">
        <f aca="false">$B$2+F35</f>
        <v>46545</v>
      </c>
      <c r="I35" s="10" t="n">
        <f aca="false">H35+G35</f>
        <v>46577</v>
      </c>
      <c r="J35" s="8" t="n">
        <f aca="false">IF(D35="Milestone",0,ROUND((G35+3)/7,0))</f>
        <v>5</v>
      </c>
      <c r="K35" s="8" t="s">
        <v>19</v>
      </c>
      <c r="L35" s="8" t="s">
        <v>93</v>
      </c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  <c r="BK35" s="11"/>
      <c r="BL35" s="11"/>
      <c r="BM35" s="11"/>
      <c r="BN35" s="11"/>
      <c r="BO35" s="11"/>
      <c r="BP35" s="11"/>
      <c r="BQ35" s="11"/>
      <c r="BR35" s="11"/>
      <c r="BS35" s="11"/>
      <c r="BT35" s="11"/>
      <c r="BU35" s="11"/>
      <c r="BV35" s="11"/>
    </row>
    <row r="36" customFormat="false" ht="15" hidden="false" customHeight="false" outlineLevel="0" collapsed="false">
      <c r="A36" s="8" t="s">
        <v>90</v>
      </c>
      <c r="B36" s="8" t="s">
        <v>94</v>
      </c>
      <c r="C36" s="8" t="s">
        <v>92</v>
      </c>
      <c r="D36" s="8" t="s">
        <v>5</v>
      </c>
      <c r="E36" s="8" t="s">
        <v>18</v>
      </c>
      <c r="F36" s="9" t="n">
        <v>238</v>
      </c>
      <c r="G36" s="9" t="n">
        <v>18</v>
      </c>
      <c r="H36" s="10" t="n">
        <f aca="false">$B$2+F36</f>
        <v>46566</v>
      </c>
      <c r="I36" s="10" t="n">
        <f aca="false">H36+G36</f>
        <v>46584</v>
      </c>
      <c r="J36" s="8" t="n">
        <f aca="false">IF(D36="Milestone",0,ROUND((G36+3)/7,0))</f>
        <v>3</v>
      </c>
      <c r="K36" s="8" t="s">
        <v>19</v>
      </c>
      <c r="L36" s="8" t="s">
        <v>95</v>
      </c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11"/>
      <c r="BK36" s="11"/>
      <c r="BL36" s="11"/>
      <c r="BM36" s="11"/>
      <c r="BN36" s="11"/>
      <c r="BO36" s="11"/>
      <c r="BP36" s="11"/>
      <c r="BQ36" s="11"/>
      <c r="BR36" s="11"/>
      <c r="BS36" s="11"/>
      <c r="BT36" s="11"/>
      <c r="BU36" s="11"/>
      <c r="BV36" s="11"/>
    </row>
    <row r="37" customFormat="false" ht="15" hidden="false" customHeight="false" outlineLevel="0" collapsed="false">
      <c r="A37" s="8" t="s">
        <v>90</v>
      </c>
      <c r="B37" s="8" t="s">
        <v>87</v>
      </c>
      <c r="C37" s="8"/>
      <c r="D37" s="8" t="s">
        <v>5</v>
      </c>
      <c r="E37" s="8" t="s">
        <v>18</v>
      </c>
      <c r="F37" s="9" t="n">
        <v>259</v>
      </c>
      <c r="G37" s="9" t="n">
        <v>11</v>
      </c>
      <c r="H37" s="10" t="n">
        <f aca="false">$B$2+F37</f>
        <v>46587</v>
      </c>
      <c r="I37" s="10" t="n">
        <f aca="false">H37+G37</f>
        <v>46598</v>
      </c>
      <c r="J37" s="8" t="n">
        <f aca="false">IF(D37="Milestone",0,ROUND((G37+3)/7,0))</f>
        <v>2</v>
      </c>
      <c r="K37" s="8" t="s">
        <v>19</v>
      </c>
      <c r="L37" s="8" t="s">
        <v>96</v>
      </c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  <c r="BM37" s="11"/>
      <c r="BN37" s="11"/>
      <c r="BO37" s="11"/>
      <c r="BP37" s="11"/>
      <c r="BQ37" s="11"/>
      <c r="BR37" s="11"/>
      <c r="BS37" s="11"/>
      <c r="BT37" s="11"/>
      <c r="BU37" s="11"/>
      <c r="BV37" s="11"/>
    </row>
    <row r="38" customFormat="false" ht="15" hidden="false" customHeight="false" outlineLevel="0" collapsed="false">
      <c r="A38" s="12" t="s">
        <v>90</v>
      </c>
      <c r="B38" s="12" t="s">
        <v>97</v>
      </c>
      <c r="C38" s="12"/>
      <c r="D38" s="12" t="s">
        <v>65</v>
      </c>
      <c r="E38" s="12" t="s">
        <v>18</v>
      </c>
      <c r="F38" s="12" t="n">
        <v>270</v>
      </c>
      <c r="G38" s="12" t="n">
        <v>0</v>
      </c>
      <c r="H38" s="13" t="n">
        <f aca="false">$B$2+F38</f>
        <v>46598</v>
      </c>
      <c r="I38" s="13" t="n">
        <f aca="false">H38+G38</f>
        <v>46598</v>
      </c>
      <c r="J38" s="12" t="n">
        <f aca="false">IF(D38="Milestone",0,ROUND((G38+3)/7,0))</f>
        <v>0</v>
      </c>
      <c r="K38" s="12" t="s">
        <v>19</v>
      </c>
      <c r="L38" s="12" t="s">
        <v>66</v>
      </c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J38" s="11"/>
      <c r="BK38" s="11"/>
      <c r="BL38" s="11"/>
      <c r="BM38" s="11"/>
      <c r="BN38" s="11"/>
      <c r="BO38" s="11"/>
      <c r="BP38" s="11"/>
      <c r="BQ38" s="11"/>
      <c r="BR38" s="11"/>
      <c r="BS38" s="11"/>
      <c r="BT38" s="11"/>
      <c r="BU38" s="11"/>
      <c r="BV38" s="11"/>
    </row>
    <row r="39" customFormat="false" ht="15" hidden="false" customHeight="false" outlineLevel="0" collapsed="false">
      <c r="A39" s="8" t="s">
        <v>98</v>
      </c>
      <c r="B39" s="8" t="s">
        <v>99</v>
      </c>
      <c r="C39" s="8" t="s">
        <v>100</v>
      </c>
      <c r="D39" s="8" t="s">
        <v>5</v>
      </c>
      <c r="E39" s="8" t="s">
        <v>18</v>
      </c>
      <c r="F39" s="9" t="n">
        <v>273</v>
      </c>
      <c r="G39" s="9" t="n">
        <v>25</v>
      </c>
      <c r="H39" s="10" t="n">
        <f aca="false">$B$2+F39</f>
        <v>46601</v>
      </c>
      <c r="I39" s="10" t="n">
        <f aca="false">H39+G39</f>
        <v>46626</v>
      </c>
      <c r="J39" s="8" t="n">
        <f aca="false">IF(D39="Milestone",0,ROUND((G39+3)/7,0))</f>
        <v>4</v>
      </c>
      <c r="K39" s="8" t="s">
        <v>19</v>
      </c>
      <c r="L39" s="8" t="s">
        <v>101</v>
      </c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L39" s="11"/>
      <c r="BM39" s="11"/>
      <c r="BN39" s="11"/>
      <c r="BO39" s="11"/>
      <c r="BP39" s="11"/>
      <c r="BQ39" s="11"/>
      <c r="BR39" s="11"/>
      <c r="BS39" s="11"/>
      <c r="BT39" s="11"/>
      <c r="BU39" s="11"/>
      <c r="BV39" s="11"/>
    </row>
    <row r="40" customFormat="false" ht="15" hidden="false" customHeight="false" outlineLevel="0" collapsed="false">
      <c r="A40" s="8" t="s">
        <v>98</v>
      </c>
      <c r="B40" s="8" t="s">
        <v>102</v>
      </c>
      <c r="C40" s="8" t="s">
        <v>100</v>
      </c>
      <c r="D40" s="8" t="s">
        <v>5</v>
      </c>
      <c r="E40" s="8" t="s">
        <v>18</v>
      </c>
      <c r="F40" s="9" t="n">
        <v>287</v>
      </c>
      <c r="G40" s="9" t="n">
        <v>18</v>
      </c>
      <c r="H40" s="10" t="n">
        <f aca="false">$B$2+F40</f>
        <v>46615</v>
      </c>
      <c r="I40" s="10" t="n">
        <f aca="false">H40+G40</f>
        <v>46633</v>
      </c>
      <c r="J40" s="8" t="n">
        <f aca="false">IF(D40="Milestone",0,ROUND((G40+3)/7,0))</f>
        <v>3</v>
      </c>
      <c r="K40" s="8" t="s">
        <v>19</v>
      </c>
      <c r="L40" s="8" t="s">
        <v>103</v>
      </c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J40" s="11"/>
      <c r="BK40" s="11"/>
      <c r="BL40" s="11"/>
      <c r="BM40" s="11"/>
      <c r="BN40" s="11"/>
      <c r="BO40" s="11"/>
      <c r="BP40" s="11"/>
      <c r="BQ40" s="11"/>
      <c r="BR40" s="11"/>
      <c r="BS40" s="11"/>
      <c r="BT40" s="11"/>
      <c r="BU40" s="11"/>
      <c r="BV40" s="11"/>
    </row>
    <row r="41" customFormat="false" ht="15" hidden="false" customHeight="false" outlineLevel="0" collapsed="false">
      <c r="A41" s="8" t="s">
        <v>98</v>
      </c>
      <c r="B41" s="8" t="s">
        <v>104</v>
      </c>
      <c r="C41" s="8"/>
      <c r="D41" s="8" t="s">
        <v>5</v>
      </c>
      <c r="E41" s="8" t="s">
        <v>18</v>
      </c>
      <c r="F41" s="9" t="n">
        <v>294</v>
      </c>
      <c r="G41" s="9" t="n">
        <v>25</v>
      </c>
      <c r="H41" s="10" t="n">
        <f aca="false">$B$2+F41</f>
        <v>46622</v>
      </c>
      <c r="I41" s="10" t="n">
        <f aca="false">H41+G41</f>
        <v>46647</v>
      </c>
      <c r="J41" s="8" t="n">
        <f aca="false">IF(D41="Milestone",0,ROUND((G41+3)/7,0))</f>
        <v>4</v>
      </c>
      <c r="K41" s="8" t="s">
        <v>19</v>
      </c>
      <c r="L41" s="8" t="s">
        <v>105</v>
      </c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H41" s="11"/>
      <c r="BI41" s="11"/>
      <c r="BJ41" s="11"/>
      <c r="BK41" s="11"/>
      <c r="BL41" s="11"/>
      <c r="BM41" s="11"/>
      <c r="BN41" s="11"/>
      <c r="BO41" s="11"/>
      <c r="BP41" s="11"/>
      <c r="BQ41" s="11"/>
      <c r="BR41" s="11"/>
      <c r="BS41" s="11"/>
      <c r="BT41" s="11"/>
      <c r="BU41" s="11"/>
      <c r="BV41" s="11"/>
    </row>
    <row r="42" customFormat="false" ht="15" hidden="false" customHeight="false" outlineLevel="0" collapsed="false">
      <c r="A42" s="8" t="s">
        <v>98</v>
      </c>
      <c r="B42" s="8" t="s">
        <v>106</v>
      </c>
      <c r="C42" s="8"/>
      <c r="D42" s="8" t="s">
        <v>5</v>
      </c>
      <c r="E42" s="8" t="s">
        <v>18</v>
      </c>
      <c r="F42" s="9" t="n">
        <v>315</v>
      </c>
      <c r="G42" s="9" t="n">
        <v>11</v>
      </c>
      <c r="H42" s="10" t="n">
        <f aca="false">$B$2+F42</f>
        <v>46643</v>
      </c>
      <c r="I42" s="10" t="n">
        <f aca="false">H42+G42</f>
        <v>46654</v>
      </c>
      <c r="J42" s="8" t="n">
        <f aca="false">IF(D42="Milestone",0,ROUND((G42+3)/7,0))</f>
        <v>2</v>
      </c>
      <c r="K42" s="8" t="s">
        <v>19</v>
      </c>
      <c r="L42" s="8" t="s">
        <v>107</v>
      </c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  <c r="BG42" s="11"/>
      <c r="BH42" s="11"/>
      <c r="BI42" s="11"/>
      <c r="BJ42" s="11"/>
      <c r="BK42" s="11"/>
      <c r="BL42" s="11"/>
      <c r="BM42" s="11"/>
      <c r="BN42" s="11"/>
      <c r="BO42" s="11"/>
      <c r="BP42" s="11"/>
      <c r="BQ42" s="11"/>
      <c r="BR42" s="11"/>
      <c r="BS42" s="11"/>
      <c r="BT42" s="11"/>
      <c r="BU42" s="11"/>
      <c r="BV42" s="11"/>
    </row>
    <row r="43" customFormat="false" ht="15" hidden="false" customHeight="false" outlineLevel="0" collapsed="false">
      <c r="A43" s="12" t="s">
        <v>98</v>
      </c>
      <c r="B43" s="12" t="s">
        <v>108</v>
      </c>
      <c r="C43" s="12"/>
      <c r="D43" s="12" t="s">
        <v>65</v>
      </c>
      <c r="E43" s="12" t="s">
        <v>18</v>
      </c>
      <c r="F43" s="12" t="n">
        <v>326</v>
      </c>
      <c r="G43" s="12" t="n">
        <v>0</v>
      </c>
      <c r="H43" s="13" t="n">
        <f aca="false">$B$2+F43</f>
        <v>46654</v>
      </c>
      <c r="I43" s="13" t="n">
        <f aca="false">H43+G43</f>
        <v>46654</v>
      </c>
      <c r="J43" s="12" t="n">
        <f aca="false">IF(D43="Milestone",0,ROUND((G43+3)/7,0))</f>
        <v>0</v>
      </c>
      <c r="K43" s="12" t="s">
        <v>19</v>
      </c>
      <c r="L43" s="12" t="s">
        <v>66</v>
      </c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  <c r="BG43" s="11"/>
      <c r="BH43" s="11"/>
      <c r="BI43" s="11"/>
      <c r="BJ43" s="11"/>
      <c r="BK43" s="11"/>
      <c r="BL43" s="11"/>
      <c r="BM43" s="11"/>
      <c r="BN43" s="11"/>
      <c r="BO43" s="11"/>
      <c r="BP43" s="11"/>
      <c r="BQ43" s="11"/>
      <c r="BR43" s="11"/>
      <c r="BS43" s="11"/>
      <c r="BT43" s="11"/>
      <c r="BU43" s="11"/>
      <c r="BV43" s="11"/>
    </row>
    <row r="44" customFormat="false" ht="15" hidden="false" customHeight="false" outlineLevel="0" collapsed="false">
      <c r="A44" s="8" t="s">
        <v>98</v>
      </c>
      <c r="B44" s="8" t="s">
        <v>109</v>
      </c>
      <c r="C44" s="8"/>
      <c r="D44" s="8" t="s">
        <v>24</v>
      </c>
      <c r="E44" s="8" t="s">
        <v>18</v>
      </c>
      <c r="F44" s="9" t="n">
        <v>329</v>
      </c>
      <c r="G44" s="9" t="n">
        <v>88</v>
      </c>
      <c r="H44" s="10" t="n">
        <f aca="false">$B$2+F44</f>
        <v>46657</v>
      </c>
      <c r="I44" s="10" t="n">
        <f aca="false">H44+G44</f>
        <v>46745</v>
      </c>
      <c r="J44" s="8" t="n">
        <f aca="false">IF(D44="Milestone",0,ROUND((G44+3)/7,0))</f>
        <v>13</v>
      </c>
      <c r="K44" s="8" t="s">
        <v>19</v>
      </c>
      <c r="L44" s="8" t="s">
        <v>110</v>
      </c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  <c r="BG44" s="11"/>
      <c r="BH44" s="11"/>
      <c r="BI44" s="11"/>
      <c r="BJ44" s="11"/>
      <c r="BK44" s="11"/>
      <c r="BL44" s="11"/>
      <c r="BM44" s="11"/>
      <c r="BN44" s="11"/>
      <c r="BO44" s="11"/>
      <c r="BP44" s="11"/>
      <c r="BQ44" s="11"/>
      <c r="BR44" s="11"/>
      <c r="BS44" s="11"/>
      <c r="BT44" s="11"/>
      <c r="BU44" s="11"/>
      <c r="BV44" s="11"/>
    </row>
  </sheetData>
  <conditionalFormatting sqref="N7:BV44">
    <cfRule type="expression" priority="2" aboveAverage="0" equalAverage="0" bottom="0" percent="0" rank="0" text="" dxfId="0">
      <formula>AND(AND(N$6&lt;=$I7,N$6+6&gt;=$H7),$D7="Milestone")</formula>
    </cfRule>
    <cfRule type="expression" priority="3" aboveAverage="0" equalAverage="0" bottom="0" percent="0" rank="0" text="" dxfId="1">
      <formula>AND(AND(N$6&lt;=$I7,N$6+6&gt;=$H7),$E7="Yes")</formula>
    </cfRule>
    <cfRule type="expression" priority="4" aboveAverage="0" equalAverage="0" bottom="0" percent="0" rank="0" text="" dxfId="2">
      <formula>AND(AND(N$6&lt;=$I7,N$6+6&gt;=$H7),$D7="External")</formula>
    </cfRule>
    <cfRule type="expression" priority="5" aboveAverage="0" equalAverage="0" bottom="0" percent="0" rank="0" text="" dxfId="3">
      <formula>AND(AND(N$6&lt;=$I7,N$6+6&gt;=$H7),$A7="Phase 0")</formula>
    </cfRule>
    <cfRule type="expression" priority="6" aboveAverage="0" equalAverage="0" bottom="0" percent="0" rank="0" text="" dxfId="4">
      <formula>AND(AND(N$6&lt;=$I7,N$6+6&gt;=$H7),$A7="Phase 1")</formula>
    </cfRule>
    <cfRule type="expression" priority="7" aboveAverage="0" equalAverage="0" bottom="0" percent="0" rank="0" text="" dxfId="5">
      <formula>AND(AND(N$6&lt;=$I7,N$6+6&gt;=$H7),$A7="Phase 2")</formula>
    </cfRule>
    <cfRule type="expression" priority="8" aboveAverage="0" equalAverage="0" bottom="0" percent="0" rank="0" text="" dxfId="6">
      <formula>AND(AND(N$6&lt;=$I7,N$6+6&gt;=$H7),$A7="Phase 3")</formula>
    </cfRule>
    <cfRule type="expression" priority="9" aboveAverage="0" equalAverage="0" bottom="0" percent="0" rank="0" text="" dxfId="7">
      <formula>AND(AND(N$6&lt;=$I7,N$6+6&gt;=$H7),$A7="Phase 4")</formula>
    </cfRule>
  </conditionalFormatting>
  <conditionalFormatting sqref="K7:K44">
    <cfRule type="expression" priority="10" aboveAverage="0" equalAverage="0" bottom="0" percent="0" rank="0" text="" dxfId="8">
      <formula>K7="Done"</formula>
    </cfRule>
    <cfRule type="expression" priority="11" aboveAverage="0" equalAverage="0" bottom="0" percent="0" rank="0" text="" dxfId="9">
      <formula>K7="Blocked"</formula>
    </cfRule>
  </conditionalFormatting>
  <dataValidations count="3">
    <dataValidation allowBlank="true" errorStyle="stop" operator="between" showDropDown="false" showErrorMessage="false" showInputMessage="false" sqref="K7:K44" type="list">
      <formula1>"Not started,In progress,Done,Blocked"</formula1>
      <formula2>0</formula2>
    </dataValidation>
    <dataValidation allowBlank="false" errorStyle="stop" operator="between" showDropDown="false" showErrorMessage="false" showInputMessage="false" sqref="D7:D44" type="list">
      <formula1>"Task,External,Milestone"</formula1>
      <formula2>0</formula2>
    </dataValidation>
    <dataValidation allowBlank="false" errorStyle="stop" operator="between" showDropDown="false" showErrorMessage="false" showInputMessage="false" sqref="E7:E44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34"/>
    <col collapsed="false" customWidth="true" hidden="false" outlineLevel="0" max="4" min="3" style="0" width="12"/>
    <col collapsed="false" customWidth="true" hidden="false" outlineLevel="0" max="5" min="5" style="0" width="8"/>
    <col collapsed="false" customWidth="true" hidden="false" outlineLevel="0" max="6" min="6" style="0" width="26"/>
    <col collapsed="false" customWidth="true" hidden="false" outlineLevel="0" max="7" min="7" style="0" width="11"/>
    <col collapsed="false" customWidth="true" hidden="false" outlineLevel="0" max="8" min="8" style="0" width="48"/>
  </cols>
  <sheetData>
    <row r="1" customFormat="false" ht="17.35" hidden="false" customHeight="false" outlineLevel="0" collapsed="false">
      <c r="A1" s="1" t="s">
        <v>111</v>
      </c>
    </row>
    <row r="2" customFormat="false" ht="15" hidden="false" customHeight="false" outlineLevel="0" collapsed="false">
      <c r="A2" s="4" t="s">
        <v>112</v>
      </c>
    </row>
    <row r="4" customFormat="false" ht="15" hidden="false" customHeight="false" outlineLevel="0" collapsed="false">
      <c r="A4" s="14" t="s">
        <v>4</v>
      </c>
      <c r="B4" s="14" t="s">
        <v>113</v>
      </c>
      <c r="C4" s="14" t="s">
        <v>11</v>
      </c>
      <c r="D4" s="14" t="s">
        <v>12</v>
      </c>
      <c r="E4" s="14" t="s">
        <v>13</v>
      </c>
      <c r="F4" s="14" t="s">
        <v>114</v>
      </c>
      <c r="G4" s="14" t="s">
        <v>115</v>
      </c>
      <c r="H4" s="14" t="s">
        <v>116</v>
      </c>
    </row>
    <row r="5" customFormat="false" ht="26.85" hidden="false" customHeight="false" outlineLevel="0" collapsed="false">
      <c r="A5" s="15" t="s">
        <v>16</v>
      </c>
      <c r="B5" s="15" t="s">
        <v>117</v>
      </c>
      <c r="C5" s="16" t="n">
        <f aca="false">_xlfn.MINIFS(Schedule!$H$7:$H$44,Schedule!$A$7:$A$44,A5,Schedule!$D$7:$D$44,"&lt;&gt;External")</f>
        <v>46328</v>
      </c>
      <c r="D5" s="16" t="n">
        <f aca="false">_xlfn.MAXIFS(Schedule!$I$7:$I$44,Schedule!$A$7:$A$44,A5,Schedule!$D$7:$D$44,"&lt;&gt;External")</f>
        <v>46360</v>
      </c>
      <c r="E5" s="15" t="n">
        <f aca="false">ROUND((D5-C5+3)/7,0)</f>
        <v>5</v>
      </c>
      <c r="F5" s="15" t="s">
        <v>118</v>
      </c>
      <c r="G5" s="15" t="n">
        <f aca="false">SUMIFS('Story Counts'!$C$5:$C$17,'Story Counts'!$G$5:$G$17,A5)</f>
        <v>0</v>
      </c>
      <c r="H5" s="15" t="s">
        <v>119</v>
      </c>
    </row>
    <row r="6" customFormat="false" ht="26.85" hidden="false" customHeight="false" outlineLevel="0" collapsed="false">
      <c r="A6" s="15" t="s">
        <v>38</v>
      </c>
      <c r="B6" s="15" t="s">
        <v>120</v>
      </c>
      <c r="C6" s="16" t="n">
        <f aca="false">_xlfn.MINIFS(Schedule!$H$7:$H$44,Schedule!$A$7:$A$44,A6,Schedule!$D$7:$D$44,"&lt;&gt;External")</f>
        <v>46356</v>
      </c>
      <c r="D6" s="16" t="n">
        <f aca="false">_xlfn.MAXIFS(Schedule!$I$7:$I$44,Schedule!$A$7:$A$44,A6,Schedule!$D$7:$D$44,"&lt;&gt;External")</f>
        <v>46503</v>
      </c>
      <c r="E6" s="15" t="n">
        <f aca="false">ROUND((D6-C6+3)/7,0)</f>
        <v>21</v>
      </c>
      <c r="F6" s="15" t="s">
        <v>121</v>
      </c>
      <c r="G6" s="15" t="n">
        <f aca="false">SUMIFS('Story Counts'!$C$5:$C$17,'Story Counts'!$G$5:$G$17,A6)</f>
        <v>88</v>
      </c>
      <c r="H6" s="15" t="s">
        <v>122</v>
      </c>
    </row>
    <row r="7" customFormat="false" ht="26.85" hidden="false" customHeight="false" outlineLevel="0" collapsed="false">
      <c r="A7" s="15" t="s">
        <v>71</v>
      </c>
      <c r="B7" s="15" t="s">
        <v>123</v>
      </c>
      <c r="C7" s="16" t="n">
        <f aca="false">_xlfn.MINIFS(Schedule!$H$7:$H$44,Schedule!$A$7:$A$44,A7,Schedule!$D$7:$D$44,"&lt;&gt;External")</f>
        <v>46475</v>
      </c>
      <c r="D7" s="16" t="n">
        <f aca="false">_xlfn.MAXIFS(Schedule!$I$7:$I$44,Schedule!$A$7:$A$44,A7,Schedule!$D$7:$D$44,"&lt;&gt;External")</f>
        <v>46542</v>
      </c>
      <c r="E7" s="15" t="n">
        <f aca="false">ROUND((D7-C7+3)/7,0)</f>
        <v>10</v>
      </c>
      <c r="F7" s="15" t="s">
        <v>124</v>
      </c>
      <c r="G7" s="15" t="n">
        <f aca="false">SUMIFS('Story Counts'!$C$5:$C$17,'Story Counts'!$G$5:$G$17,A7)</f>
        <v>39</v>
      </c>
      <c r="H7" s="15" t="s">
        <v>125</v>
      </c>
    </row>
    <row r="8" customFormat="false" ht="26.85" hidden="false" customHeight="false" outlineLevel="0" collapsed="false">
      <c r="A8" s="15" t="s">
        <v>90</v>
      </c>
      <c r="B8" s="15" t="s">
        <v>126</v>
      </c>
      <c r="C8" s="16" t="n">
        <f aca="false">_xlfn.MINIFS(Schedule!$H$7:$H$44,Schedule!$A$7:$A$44,A8,Schedule!$D$7:$D$44,"&lt;&gt;External")</f>
        <v>46545</v>
      </c>
      <c r="D8" s="16" t="n">
        <f aca="false">_xlfn.MAXIFS(Schedule!$I$7:$I$44,Schedule!$A$7:$A$44,A8,Schedule!$D$7:$D$44,"&lt;&gt;External")</f>
        <v>46598</v>
      </c>
      <c r="E8" s="15" t="n">
        <f aca="false">ROUND((D8-C8+3)/7,0)</f>
        <v>8</v>
      </c>
      <c r="F8" s="15" t="s">
        <v>92</v>
      </c>
      <c r="G8" s="15" t="n">
        <f aca="false">SUMIFS('Story Counts'!$C$5:$C$17,'Story Counts'!$G$5:$G$17,A8)</f>
        <v>12</v>
      </c>
      <c r="H8" s="15" t="s">
        <v>127</v>
      </c>
    </row>
    <row r="9" customFormat="false" ht="15" hidden="false" customHeight="false" outlineLevel="0" collapsed="false">
      <c r="A9" s="15" t="s">
        <v>98</v>
      </c>
      <c r="B9" s="15" t="s">
        <v>128</v>
      </c>
      <c r="C9" s="16" t="n">
        <f aca="false">_xlfn.MINIFS(Schedule!$H$7:$H$44,Schedule!$A$7:$A$44,A9,Schedule!$D$7:$D$44,"&lt;&gt;External")</f>
        <v>46601</v>
      </c>
      <c r="D9" s="16" t="n">
        <f aca="false">_xlfn.MAXIFS(Schedule!$I$7:$I$44,Schedule!$A$7:$A$44,A9,Schedule!$D$7:$D$44,"&lt;&gt;External")</f>
        <v>46654</v>
      </c>
      <c r="E9" s="15" t="n">
        <f aca="false">ROUND((D9-C9+3)/7,0)</f>
        <v>8</v>
      </c>
      <c r="F9" s="15" t="s">
        <v>129</v>
      </c>
      <c r="G9" s="15" t="n">
        <f aca="false">SUMIFS('Story Counts'!$C$5:$C$17,'Story Counts'!$G$5:$G$17,A9)</f>
        <v>5</v>
      </c>
      <c r="H9" s="15" t="s">
        <v>130</v>
      </c>
    </row>
    <row r="10" customFormat="false" ht="15" hidden="false" customHeight="false" outlineLevel="0" collapsed="false">
      <c r="A10" s="8" t="s">
        <v>131</v>
      </c>
      <c r="B10" s="8" t="s">
        <v>132</v>
      </c>
      <c r="C10" s="8"/>
      <c r="D10" s="8"/>
      <c r="E10" s="8"/>
      <c r="F10" s="8"/>
      <c r="G10" s="8" t="n">
        <f aca="false">'Story Counts'!D18+'Story Counts'!E18</f>
        <v>32</v>
      </c>
      <c r="H10" s="8"/>
    </row>
    <row r="11" customFormat="false" ht="15" hidden="false" customHeight="false" outlineLevel="0" collapsed="false">
      <c r="A11" s="12" t="s">
        <v>133</v>
      </c>
      <c r="B11" s="12"/>
      <c r="C11" s="12"/>
      <c r="D11" s="12"/>
      <c r="E11" s="12"/>
      <c r="F11" s="12"/>
      <c r="G11" s="12" t="n">
        <f aca="false">SUM(G5:G10)</f>
        <v>176</v>
      </c>
      <c r="H11" s="12"/>
    </row>
    <row r="13" customFormat="false" ht="15" hidden="false" customHeight="false" outlineLevel="0" collapsed="false">
      <c r="A13" s="2" t="s">
        <v>134</v>
      </c>
    </row>
    <row r="14" customFormat="false" ht="15" hidden="false" customHeight="false" outlineLevel="0" collapsed="false">
      <c r="A14" s="17" t="s">
        <v>135</v>
      </c>
      <c r="B14" s="18" t="n">
        <f aca="false">INDEX(Schedule!$H$7:$H$44,MATCH("Phase 1 signed off",Schedule!$B$7:$B$44,0))</f>
        <v>46472</v>
      </c>
    </row>
    <row r="15" customFormat="false" ht="15" hidden="false" customHeight="false" outlineLevel="0" collapsed="false">
      <c r="A15" s="17" t="s">
        <v>69</v>
      </c>
      <c r="B15" s="18" t="n">
        <f aca="false">INDEX(Schedule!$H$7:$H$44,MATCH("Rent collection go-live",Schedule!$B$7:$B$44,0))</f>
        <v>46503</v>
      </c>
    </row>
    <row r="16" customFormat="false" ht="15" hidden="false" customHeight="false" outlineLevel="0" collapsed="false">
      <c r="A16" s="17" t="s">
        <v>136</v>
      </c>
      <c r="B16" s="18" t="n">
        <f aca="false">INDEX(Schedule!$H$7:$H$44,MATCH("Project sign-off",Schedule!$B$7:$B$44,0))</f>
        <v>46654</v>
      </c>
    </row>
    <row r="17" customFormat="false" ht="15" hidden="false" customHeight="false" outlineLevel="0" collapsed="false">
      <c r="A17" s="17" t="s">
        <v>137</v>
      </c>
      <c r="B17" s="2" t="n">
        <f aca="false">ROUND((B15-Schedule!$B$2)/7,0)</f>
        <v>25</v>
      </c>
    </row>
    <row r="18" customFormat="false" ht="15" hidden="false" customHeight="false" outlineLevel="0" collapsed="false">
      <c r="A18" s="17" t="s">
        <v>138</v>
      </c>
      <c r="B18" s="2" t="n">
        <f aca="false">ROUND((B16-Schedule!$B$2+3)/7,0)</f>
        <v>47</v>
      </c>
    </row>
    <row r="19" customFormat="false" ht="15" hidden="false" customHeight="false" outlineLevel="0" collapsed="false">
      <c r="A19" s="17" t="s">
        <v>139</v>
      </c>
      <c r="B19" s="2" t="n">
        <f aca="false">ROUND((INDEX(Schedule!$H$7:$H$44,MATCH("QA, performance, resilience, pen test",Schedule!$B$7:$B$44,0))-INDEX(Schedule!$I$7:$I$44,MATCH("Paybill + Daraja production approval",Schedule!$B$7:$B$44,0)))/7,0)</f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0"/>
    <col collapsed="false" customWidth="true" hidden="false" outlineLevel="0" max="5" min="3" style="0" width="7"/>
    <col collapsed="false" customWidth="true" hidden="false" outlineLevel="0" max="6" min="6" style="0" width="8"/>
    <col collapsed="false" customWidth="true" hidden="false" outlineLevel="0" max="7" min="7" style="0" width="10"/>
  </cols>
  <sheetData>
    <row r="1" customFormat="false" ht="17.35" hidden="false" customHeight="false" outlineLevel="0" collapsed="false">
      <c r="A1" s="1" t="s">
        <v>140</v>
      </c>
    </row>
    <row r="2" customFormat="false" ht="15" hidden="false" customHeight="false" outlineLevel="0" collapsed="false">
      <c r="A2" s="4" t="s">
        <v>141</v>
      </c>
    </row>
    <row r="4" customFormat="false" ht="15" hidden="false" customHeight="false" outlineLevel="0" collapsed="false">
      <c r="A4" s="14" t="s">
        <v>6</v>
      </c>
      <c r="B4" s="14" t="s">
        <v>113</v>
      </c>
      <c r="C4" s="14" t="s">
        <v>142</v>
      </c>
      <c r="D4" s="14" t="s">
        <v>143</v>
      </c>
      <c r="E4" s="14" t="s">
        <v>144</v>
      </c>
      <c r="F4" s="14" t="s">
        <v>133</v>
      </c>
      <c r="G4" s="14" t="s">
        <v>4</v>
      </c>
    </row>
    <row r="5" customFormat="false" ht="15" hidden="false" customHeight="false" outlineLevel="0" collapsed="false">
      <c r="A5" s="8" t="s">
        <v>40</v>
      </c>
      <c r="B5" s="8" t="s">
        <v>145</v>
      </c>
      <c r="C5" s="9" t="n">
        <v>10</v>
      </c>
      <c r="D5" s="9" t="n">
        <v>0</v>
      </c>
      <c r="E5" s="9" t="n">
        <v>0</v>
      </c>
      <c r="F5" s="8" t="n">
        <f aca="false">SUM(C5:E5)</f>
        <v>10</v>
      </c>
      <c r="G5" s="8" t="s">
        <v>38</v>
      </c>
    </row>
    <row r="6" customFormat="false" ht="15" hidden="false" customHeight="false" outlineLevel="0" collapsed="false">
      <c r="A6" s="8" t="s">
        <v>146</v>
      </c>
      <c r="B6" s="8" t="s">
        <v>147</v>
      </c>
      <c r="C6" s="9" t="n">
        <v>11</v>
      </c>
      <c r="D6" s="9" t="n">
        <v>1</v>
      </c>
      <c r="E6" s="9" t="n">
        <v>0</v>
      </c>
      <c r="F6" s="8" t="n">
        <f aca="false">SUM(C6:E6)</f>
        <v>12</v>
      </c>
      <c r="G6" s="8" t="s">
        <v>38</v>
      </c>
    </row>
    <row r="7" customFormat="false" ht="15" hidden="false" customHeight="false" outlineLevel="0" collapsed="false">
      <c r="A7" s="8" t="s">
        <v>148</v>
      </c>
      <c r="B7" s="8" t="s">
        <v>149</v>
      </c>
      <c r="C7" s="9" t="n">
        <v>6</v>
      </c>
      <c r="D7" s="9" t="n">
        <v>1</v>
      </c>
      <c r="E7" s="9" t="n">
        <v>0</v>
      </c>
      <c r="F7" s="8" t="n">
        <f aca="false">SUM(C7:E7)</f>
        <v>7</v>
      </c>
      <c r="G7" s="8" t="s">
        <v>38</v>
      </c>
    </row>
    <row r="8" customFormat="false" ht="15" hidden="false" customHeight="false" outlineLevel="0" collapsed="false">
      <c r="A8" s="8" t="s">
        <v>46</v>
      </c>
      <c r="B8" s="8" t="s">
        <v>150</v>
      </c>
      <c r="C8" s="9" t="n">
        <v>13</v>
      </c>
      <c r="D8" s="9" t="n">
        <v>3</v>
      </c>
      <c r="E8" s="9" t="n">
        <v>0</v>
      </c>
      <c r="F8" s="8" t="n">
        <f aca="false">SUM(C8:E8)</f>
        <v>16</v>
      </c>
      <c r="G8" s="8" t="s">
        <v>38</v>
      </c>
    </row>
    <row r="9" customFormat="false" ht="15" hidden="false" customHeight="false" outlineLevel="0" collapsed="false">
      <c r="A9" s="8" t="s">
        <v>49</v>
      </c>
      <c r="B9" s="8" t="s">
        <v>151</v>
      </c>
      <c r="C9" s="9" t="n">
        <v>20</v>
      </c>
      <c r="D9" s="9" t="n">
        <v>3</v>
      </c>
      <c r="E9" s="9" t="n">
        <v>0</v>
      </c>
      <c r="F9" s="8" t="n">
        <f aca="false">SUM(C9:E9)</f>
        <v>23</v>
      </c>
      <c r="G9" s="8" t="s">
        <v>38</v>
      </c>
    </row>
    <row r="10" customFormat="false" ht="15" hidden="false" customHeight="false" outlineLevel="0" collapsed="false">
      <c r="A10" s="8" t="s">
        <v>92</v>
      </c>
      <c r="B10" s="8" t="s">
        <v>126</v>
      </c>
      <c r="C10" s="9" t="n">
        <v>12</v>
      </c>
      <c r="D10" s="9" t="n">
        <v>2</v>
      </c>
      <c r="E10" s="9" t="n">
        <v>1</v>
      </c>
      <c r="F10" s="8" t="n">
        <f aca="false">SUM(C10:E10)</f>
        <v>15</v>
      </c>
      <c r="G10" s="8" t="s">
        <v>90</v>
      </c>
    </row>
    <row r="11" customFormat="false" ht="15" hidden="false" customHeight="false" outlineLevel="0" collapsed="false">
      <c r="A11" s="8" t="s">
        <v>76</v>
      </c>
      <c r="B11" s="8" t="s">
        <v>152</v>
      </c>
      <c r="C11" s="9" t="n">
        <v>7</v>
      </c>
      <c r="D11" s="9" t="n">
        <v>3</v>
      </c>
      <c r="E11" s="9" t="n">
        <v>0</v>
      </c>
      <c r="F11" s="8" t="n">
        <f aca="false">SUM(C11:E11)</f>
        <v>10</v>
      </c>
      <c r="G11" s="8" t="s">
        <v>71</v>
      </c>
    </row>
    <row r="12" customFormat="false" ht="15" hidden="false" customHeight="false" outlineLevel="0" collapsed="false">
      <c r="A12" s="8" t="s">
        <v>54</v>
      </c>
      <c r="B12" s="8" t="s">
        <v>153</v>
      </c>
      <c r="C12" s="9" t="n">
        <v>8</v>
      </c>
      <c r="D12" s="9" t="n">
        <v>2</v>
      </c>
      <c r="E12" s="9" t="n">
        <v>0</v>
      </c>
      <c r="F12" s="8" t="n">
        <f aca="false">SUM(C12:E12)</f>
        <v>10</v>
      </c>
      <c r="G12" s="8" t="s">
        <v>38</v>
      </c>
    </row>
    <row r="13" customFormat="false" ht="15" hidden="false" customHeight="false" outlineLevel="0" collapsed="false">
      <c r="A13" s="8" t="s">
        <v>73</v>
      </c>
      <c r="B13" s="8" t="s">
        <v>154</v>
      </c>
      <c r="C13" s="9" t="n">
        <v>9</v>
      </c>
      <c r="D13" s="9" t="n">
        <v>4</v>
      </c>
      <c r="E13" s="9" t="n">
        <v>0</v>
      </c>
      <c r="F13" s="8" t="n">
        <f aca="false">SUM(C13:E13)</f>
        <v>13</v>
      </c>
      <c r="G13" s="8" t="s">
        <v>71</v>
      </c>
    </row>
    <row r="14" customFormat="false" ht="15" hidden="false" customHeight="false" outlineLevel="0" collapsed="false">
      <c r="A14" s="8" t="s">
        <v>100</v>
      </c>
      <c r="B14" s="8" t="s">
        <v>155</v>
      </c>
      <c r="C14" s="9" t="n">
        <v>5</v>
      </c>
      <c r="D14" s="9" t="n">
        <v>4</v>
      </c>
      <c r="E14" s="9" t="n">
        <v>1</v>
      </c>
      <c r="F14" s="8" t="n">
        <f aca="false">SUM(C14:E14)</f>
        <v>10</v>
      </c>
      <c r="G14" s="8" t="s">
        <v>98</v>
      </c>
    </row>
    <row r="15" customFormat="false" ht="15" hidden="false" customHeight="false" outlineLevel="0" collapsed="false">
      <c r="A15" s="8" t="s">
        <v>82</v>
      </c>
      <c r="B15" s="8" t="s">
        <v>81</v>
      </c>
      <c r="C15" s="9" t="n">
        <v>16</v>
      </c>
      <c r="D15" s="9" t="n">
        <v>4</v>
      </c>
      <c r="E15" s="9" t="n">
        <v>0</v>
      </c>
      <c r="F15" s="8" t="n">
        <f aca="false">SUM(C15:E15)</f>
        <v>20</v>
      </c>
      <c r="G15" s="8" t="s">
        <v>71</v>
      </c>
    </row>
    <row r="16" customFormat="false" ht="15" hidden="false" customHeight="false" outlineLevel="0" collapsed="false">
      <c r="A16" s="8" t="s">
        <v>85</v>
      </c>
      <c r="B16" s="8" t="s">
        <v>84</v>
      </c>
      <c r="C16" s="9" t="n">
        <v>7</v>
      </c>
      <c r="D16" s="9" t="n">
        <v>3</v>
      </c>
      <c r="E16" s="9" t="n">
        <v>0</v>
      </c>
      <c r="F16" s="8" t="n">
        <f aca="false">SUM(C16:E16)</f>
        <v>10</v>
      </c>
      <c r="G16" s="8" t="s">
        <v>71</v>
      </c>
    </row>
    <row r="17" customFormat="false" ht="15" hidden="false" customHeight="false" outlineLevel="0" collapsed="false">
      <c r="A17" s="8" t="s">
        <v>32</v>
      </c>
      <c r="B17" s="8" t="s">
        <v>156</v>
      </c>
      <c r="C17" s="9" t="n">
        <v>20</v>
      </c>
      <c r="D17" s="9" t="n">
        <v>0</v>
      </c>
      <c r="E17" s="9" t="n">
        <v>0</v>
      </c>
      <c r="F17" s="8" t="n">
        <f aca="false">SUM(C17:E17)</f>
        <v>20</v>
      </c>
      <c r="G17" s="8" t="s">
        <v>38</v>
      </c>
    </row>
    <row r="18" customFormat="false" ht="15" hidden="false" customHeight="false" outlineLevel="0" collapsed="false">
      <c r="A18" s="2" t="s">
        <v>133</v>
      </c>
      <c r="C18" s="2" t="n">
        <f aca="false">SUM(C5:C17)</f>
        <v>144</v>
      </c>
      <c r="D18" s="2" t="n">
        <f aca="false">SUM(D5:D17)</f>
        <v>30</v>
      </c>
      <c r="E18" s="2" t="n">
        <f aca="false">SUM(E5:E17)</f>
        <v>2</v>
      </c>
      <c r="F18" s="2" t="n">
        <f aca="false">SUM(F5:F17)</f>
        <v>176</v>
      </c>
    </row>
    <row r="20" customFormat="false" ht="15" hidden="false" customHeight="false" outlineLevel="0" collapsed="false">
      <c r="A20" s="17" t="s">
        <v>157</v>
      </c>
      <c r="B20" s="2" t="str">
        <f aca="false">INDEX(B5:B17,MATCH(MAX(F5:F17),F5:F17,0))</f>
        <v>Rent billing, payments and arrears</v>
      </c>
    </row>
    <row r="21" customFormat="false" ht="15" hidden="false" customHeight="false" outlineLevel="0" collapsed="false">
      <c r="A21" s="17" t="s">
        <v>158</v>
      </c>
      <c r="B21" s="19" t="n">
        <f aca="false">SUMIFS(C5:C17,G5:G17,"Phase 1")/C18</f>
        <v>0.611111111111111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60"/>
    <col collapsed="false" customWidth="true" hidden="false" outlineLevel="0" max="3" min="3" style="0" width="26"/>
    <col collapsed="false" customWidth="true" hidden="false" outlineLevel="0" max="4" min="4" style="0" width="50"/>
  </cols>
  <sheetData>
    <row r="1" customFormat="false" ht="17.35" hidden="false" customHeight="false" outlineLevel="0" collapsed="false">
      <c r="A1" s="1" t="s">
        <v>159</v>
      </c>
    </row>
    <row r="3" customFormat="false" ht="15" hidden="false" customHeight="false" outlineLevel="0" collapsed="false">
      <c r="A3" s="20" t="s">
        <v>8</v>
      </c>
    </row>
    <row r="4" customFormat="false" ht="15" hidden="false" customHeight="false" outlineLevel="0" collapsed="false">
      <c r="A4" s="17" t="s">
        <v>160</v>
      </c>
      <c r="B4" s="21" t="s">
        <v>161</v>
      </c>
    </row>
    <row r="5" customFormat="false" ht="15" hidden="false" customHeight="false" outlineLevel="0" collapsed="false">
      <c r="A5" s="17" t="s">
        <v>162</v>
      </c>
      <c r="B5" s="21" t="s">
        <v>163</v>
      </c>
    </row>
    <row r="6" customFormat="false" ht="15" hidden="false" customHeight="false" outlineLevel="0" collapsed="false">
      <c r="A6" s="17" t="s">
        <v>164</v>
      </c>
      <c r="B6" s="21" t="s">
        <v>165</v>
      </c>
    </row>
    <row r="7" customFormat="false" ht="15" hidden="false" customHeight="false" outlineLevel="0" collapsed="false">
      <c r="A7" s="17" t="s">
        <v>166</v>
      </c>
      <c r="B7" s="21" t="s">
        <v>167</v>
      </c>
    </row>
    <row r="8" customFormat="false" ht="15" hidden="false" customHeight="false" outlineLevel="0" collapsed="false">
      <c r="A8" s="17" t="s">
        <v>168</v>
      </c>
      <c r="B8" s="21" t="s">
        <v>169</v>
      </c>
    </row>
    <row r="9" customFormat="false" ht="15" hidden="false" customHeight="false" outlineLevel="0" collapsed="false">
      <c r="A9" s="17" t="s">
        <v>170</v>
      </c>
      <c r="B9" s="21" t="s">
        <v>69</v>
      </c>
    </row>
    <row r="11" customFormat="false" ht="15" hidden="false" customHeight="false" outlineLevel="0" collapsed="false">
      <c r="A11" s="20" t="s">
        <v>171</v>
      </c>
    </row>
    <row r="12" customFormat="false" ht="26.85" hidden="false" customHeight="false" outlineLevel="0" collapsed="false">
      <c r="A12" s="17" t="s">
        <v>172</v>
      </c>
      <c r="B12" s="21" t="s">
        <v>173</v>
      </c>
    </row>
    <row r="13" customFormat="false" ht="39.55" hidden="false" customHeight="false" outlineLevel="0" collapsed="false">
      <c r="A13" s="17" t="s">
        <v>172</v>
      </c>
      <c r="B13" s="21" t="s">
        <v>174</v>
      </c>
    </row>
    <row r="14" customFormat="false" ht="26.85" hidden="false" customHeight="false" outlineLevel="0" collapsed="false">
      <c r="A14" s="17" t="s">
        <v>172</v>
      </c>
      <c r="B14" s="21" t="s">
        <v>175</v>
      </c>
    </row>
    <row r="15" customFormat="false" ht="26.85" hidden="false" customHeight="false" outlineLevel="0" collapsed="false">
      <c r="A15" s="17" t="s">
        <v>172</v>
      </c>
      <c r="B15" s="21" t="s">
        <v>176</v>
      </c>
    </row>
    <row r="16" customFormat="false" ht="39.55" hidden="false" customHeight="false" outlineLevel="0" collapsed="false">
      <c r="A16" s="17" t="s">
        <v>172</v>
      </c>
      <c r="B16" s="21" t="s">
        <v>177</v>
      </c>
    </row>
    <row r="18" customFormat="false" ht="15" hidden="false" customHeight="false" outlineLevel="0" collapsed="false">
      <c r="A18" s="20" t="s">
        <v>178</v>
      </c>
    </row>
    <row r="19" customFormat="false" ht="26.85" hidden="false" customHeight="false" outlineLevel="0" collapsed="false">
      <c r="A19" s="17" t="s">
        <v>172</v>
      </c>
      <c r="B19" s="21" t="s">
        <v>179</v>
      </c>
    </row>
    <row r="20" customFormat="false" ht="39.55" hidden="false" customHeight="false" outlineLevel="0" collapsed="false">
      <c r="A20" s="17" t="s">
        <v>172</v>
      </c>
      <c r="B20" s="21" t="s">
        <v>180</v>
      </c>
    </row>
    <row r="21" customFormat="false" ht="15" hidden="false" customHeight="false" outlineLevel="0" collapsed="false">
      <c r="A21" s="17" t="s">
        <v>172</v>
      </c>
      <c r="B21" s="21" t="s">
        <v>181</v>
      </c>
    </row>
    <row r="22" customFormat="false" ht="26.85" hidden="false" customHeight="false" outlineLevel="0" collapsed="false">
      <c r="A22" s="17" t="s">
        <v>172</v>
      </c>
      <c r="B22" s="21" t="s">
        <v>182</v>
      </c>
    </row>
    <row r="23" customFormat="false" ht="26.85" hidden="false" customHeight="false" outlineLevel="0" collapsed="false">
      <c r="A23" s="17" t="s">
        <v>172</v>
      </c>
      <c r="B23" s="21" t="s">
        <v>183</v>
      </c>
    </row>
    <row r="24" customFormat="false" ht="15" hidden="false" customHeight="false" outlineLevel="0" collapsed="false">
      <c r="A24" s="17" t="s">
        <v>172</v>
      </c>
      <c r="B24" s="21" t="s">
        <v>184</v>
      </c>
    </row>
    <row r="26" customFormat="false" ht="15" hidden="false" customHeight="false" outlineLevel="0" collapsed="false">
      <c r="A26" s="20" t="s">
        <v>185</v>
      </c>
    </row>
    <row r="27" customFormat="false" ht="15" hidden="false" customHeight="false" outlineLevel="0" collapsed="false">
      <c r="B27" s="14" t="s">
        <v>186</v>
      </c>
      <c r="C27" s="14" t="s">
        <v>187</v>
      </c>
      <c r="D27" s="14" t="s">
        <v>188</v>
      </c>
    </row>
    <row r="28" customFormat="false" ht="26.85" hidden="false" customHeight="false" outlineLevel="0" collapsed="false">
      <c r="B28" s="15" t="s">
        <v>189</v>
      </c>
      <c r="C28" s="15" t="s">
        <v>190</v>
      </c>
      <c r="D28" s="15" t="s">
        <v>191</v>
      </c>
    </row>
    <row r="29" customFormat="false" ht="26.85" hidden="false" customHeight="false" outlineLevel="0" collapsed="false">
      <c r="B29" s="15" t="s">
        <v>192</v>
      </c>
      <c r="C29" s="15" t="s">
        <v>193</v>
      </c>
      <c r="D29" s="15" t="s">
        <v>194</v>
      </c>
    </row>
    <row r="30" customFormat="false" ht="26.85" hidden="false" customHeight="false" outlineLevel="0" collapsed="false">
      <c r="B30" s="15" t="s">
        <v>195</v>
      </c>
      <c r="C30" s="15" t="s">
        <v>196</v>
      </c>
      <c r="D30" s="15" t="s">
        <v>197</v>
      </c>
    </row>
    <row r="31" customFormat="false" ht="26.85" hidden="false" customHeight="false" outlineLevel="0" collapsed="false">
      <c r="B31" s="15" t="s">
        <v>198</v>
      </c>
      <c r="C31" s="15" t="s">
        <v>199</v>
      </c>
      <c r="D31" s="15" t="s">
        <v>200</v>
      </c>
    </row>
    <row r="32" customFormat="false" ht="15" hidden="false" customHeight="false" outlineLevel="0" collapsed="false">
      <c r="B32" s="15" t="s">
        <v>201</v>
      </c>
      <c r="C32" s="15" t="s">
        <v>202</v>
      </c>
      <c r="D32" s="15" t="s">
        <v>203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2026-10-18T15:00:39Z</dcterms:created>
  <dc:creator>openpyxl</dc:creator>
  <dc:description/>
  <dc:language>en-US</dc:language>
  <cp:lastModifiedBy/>
  <dcterms:modified xsi:type="dcterms:W3CDTF">2026-10-18T15:00:39Z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